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rthampton Election Results" sheetId="1" r:id="rId4"/>
  </sheets>
  <definedNames/>
  <calcPr/>
</workbook>
</file>

<file path=xl/sharedStrings.xml><?xml version="1.0" encoding="utf-8"?>
<sst xmlns="http://schemas.openxmlformats.org/spreadsheetml/2006/main" count="122" uniqueCount="78">
  <si>
    <t>NORTHAMPTON BIENNIAL MUNICIPAL ELECTION RESULTS (UNOFFICIAL)</t>
  </si>
  <si>
    <t xml:space="preserve"> </t>
  </si>
  <si>
    <t>Mayor</t>
  </si>
  <si>
    <t>City Councilor At Large</t>
  </si>
  <si>
    <t>Ward Councilor</t>
  </si>
  <si>
    <t>School Committee At Large</t>
  </si>
  <si>
    <t>School Committee Ward Members</t>
  </si>
  <si>
    <t>Trustees Under the Will of Charles E Forbes</t>
  </si>
  <si>
    <t>Elector Under the Oliver Smith Will David Alan Murphy</t>
  </si>
  <si>
    <t>Trustees of SVAHS</t>
  </si>
  <si>
    <t>W1</t>
  </si>
  <si>
    <t>W2</t>
  </si>
  <si>
    <t>W3</t>
  </si>
  <si>
    <t>W4</t>
  </si>
  <si>
    <t>W5</t>
  </si>
  <si>
    <t>W6</t>
  </si>
  <si>
    <t>W7</t>
  </si>
  <si>
    <t>TIME (PM)</t>
  </si>
  <si>
    <t>WARDS</t>
  </si>
  <si>
    <t>BALLOTS</t>
  </si>
  <si>
    <t>Jillian Marie Duclos</t>
  </si>
  <si>
    <t>Gina Louise Sciarra</t>
  </si>
  <si>
    <t>Benjamin P Spencer</t>
  </si>
  <si>
    <t>Deborah Henson</t>
  </si>
  <si>
    <t>Garrick Maurice Perry</t>
  </si>
  <si>
    <t>Margaret S Robbins</t>
  </si>
  <si>
    <t>Gwenevra Lodi Nabad</t>
  </si>
  <si>
    <t>Michele Ronco</t>
  </si>
  <si>
    <t>Alan Joseph Simon</t>
  </si>
  <si>
    <t>Deborah L Pastrich Klemer</t>
  </si>
  <si>
    <t>Quaverly Honeyspoon Rothenberg</t>
  </si>
  <si>
    <t>Laurie A Loisel</t>
  </si>
  <si>
    <t>Jeremy Adam Dubs</t>
  </si>
  <si>
    <t>Aline Laborwit Davis</t>
  </si>
  <si>
    <t>Vincent Martin Rotello IV</t>
  </si>
  <si>
    <t>Marianne L Labarge</t>
  </si>
  <si>
    <t>Christopher Caleb Stratton</t>
  </si>
  <si>
    <t>Susan Timberlake</t>
  </si>
  <si>
    <t>Rachel Maiore</t>
  </si>
  <si>
    <t>Roberta Robbie Saner Sullivan</t>
  </si>
  <si>
    <t>Tiffany M Jewell</t>
  </si>
  <si>
    <t>Emily Serafy-Cox</t>
  </si>
  <si>
    <t>Alena M Bartoli</t>
  </si>
  <si>
    <t>Angela Wack</t>
  </si>
  <si>
    <t>Anat G Weisenfreund</t>
  </si>
  <si>
    <t>Renika Rachelle Montgomery-Tamakloe</t>
  </si>
  <si>
    <t>Michael K Stein</t>
  </si>
  <si>
    <t>Megan Wolf (write-In)</t>
  </si>
  <si>
    <t>Amy Martyn</t>
  </si>
  <si>
    <t>Cynthia Marie Mahoney</t>
  </si>
  <si>
    <t>Valerie Dawn Reiss</t>
  </si>
  <si>
    <t>Rebekah Evelyn Anderson</t>
  </si>
  <si>
    <t>Ann Michele Ruocco</t>
  </si>
  <si>
    <t>Lolan Buhain Sevilla</t>
  </si>
  <si>
    <t>Frederick D Kass</t>
  </si>
  <si>
    <t>Richard D Aquadro</t>
  </si>
  <si>
    <t>Michael Thomas Cahillane</t>
  </si>
  <si>
    <t>Julie Spencer-Robinson</t>
  </si>
  <si>
    <t>Mail In Ballots received after 3:00 pm today will be counted in the City Clerk's Office after the close of the polls.  The results will be included as a separate line item in the totals below (all precincts, one line items).  Ballots received before 3:00 pm will be sent to the appropriate polling location where they will be opened, scanned, and tallied in with the precinct results.</t>
  </si>
  <si>
    <t xml:space="preserve">All </t>
  </si>
  <si>
    <t>2A</t>
  </si>
  <si>
    <t>1B</t>
  </si>
  <si>
    <t>TOTAL</t>
  </si>
  <si>
    <t>7B</t>
  </si>
  <si>
    <t>5A</t>
  </si>
  <si>
    <t>4A</t>
  </si>
  <si>
    <t>3B</t>
  </si>
  <si>
    <t>5B</t>
  </si>
  <si>
    <t>7A</t>
  </si>
  <si>
    <t>6B</t>
  </si>
  <si>
    <t>6A</t>
  </si>
  <si>
    <t>3A</t>
  </si>
  <si>
    <t>2B</t>
  </si>
  <si>
    <t>1A</t>
  </si>
  <si>
    <t>4B</t>
  </si>
  <si>
    <t>VOTERS IN EACH WARD</t>
  </si>
  <si>
    <t xml:space="preserve">Voter Total:  </t>
  </si>
  <si>
    <t>% of People Voted in this Election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</si>
</sst>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F800]dddd\,\ mmmm\ dd\,\ yyyy"/>
    <numFmt numFmtId="165" formatCode="h:mm am/pm"/>
  </numFmts>
  <fonts count="20">
    <font>
      <sz val="10.0"/>
      <color rgb="FF000000"/>
      <name val="Calibri"/>
      <scheme val="minor"/>
    </font>
    <font>
      <b/>
      <sz val="12.0"/>
      <color theme="1"/>
      <name val="Arial"/>
    </font>
    <font>
      <color theme="1"/>
      <name val="Calibri"/>
      <scheme val="minor"/>
    </font>
    <font>
      <color rgb="FFFF0000"/>
      <name val="Calibri"/>
      <scheme val="minor"/>
    </font>
    <font>
      <sz val="10.0"/>
      <color theme="1"/>
      <name val="Arial"/>
    </font>
    <font>
      <sz val="12.0"/>
      <color theme="1"/>
      <name val="Arial"/>
    </font>
    <font>
      <sz val="16.0"/>
      <color theme="1"/>
      <name val="Arial"/>
    </font>
    <font/>
    <font>
      <sz val="15.0"/>
      <color theme="1"/>
      <name val="Arial"/>
    </font>
    <font>
      <sz val="9.0"/>
      <color theme="1"/>
      <name val="Arial"/>
    </font>
    <font>
      <b/>
      <sz val="15.0"/>
      <color rgb="FFFF7600"/>
      <name val="Arial"/>
    </font>
    <font>
      <sz val="10.0"/>
      <color rgb="FF000000"/>
      <name val="Arial"/>
    </font>
    <font>
      <color rgb="FF000000"/>
      <name val="Arial"/>
    </font>
    <font>
      <color rgb="FF000000"/>
      <name val="Calibri"/>
      <scheme val="minor"/>
    </font>
    <font>
      <b/>
      <color rgb="FFFF7600"/>
      <name val="Arial"/>
    </font>
    <font>
      <b/>
      <sz val="10.0"/>
      <color rgb="FFFF0000"/>
      <name val="Arial"/>
    </font>
    <font>
      <b/>
      <sz val="16.0"/>
      <color theme="1"/>
      <name val="Calibri"/>
      <scheme val="minor"/>
    </font>
    <font>
      <b/>
      <sz val="10.0"/>
      <color theme="1"/>
      <name val="Arial"/>
    </font>
    <font>
      <b/>
      <sz val="11.0"/>
      <color theme="1"/>
      <name val="Calibri"/>
      <scheme val="minor"/>
    </font>
    <font>
      <b/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D9D2E9"/>
        <bgColor rgb="FFD9D2E9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horizontal="left" readingOrder="0" shrinkToFit="0" vertical="center" wrapText="0"/>
    </xf>
    <xf borderId="0" fillId="2" fontId="5" numFmtId="0" xfId="0" applyAlignment="1" applyFill="1" applyFont="1">
      <alignment horizontal="center" readingOrder="0" shrinkToFit="0" vertical="bottom" wrapText="1"/>
    </xf>
    <xf borderId="1" fillId="2" fontId="5" numFmtId="0" xfId="0" applyAlignment="1" applyBorder="1" applyFont="1">
      <alignment horizontal="center" readingOrder="0" shrinkToFit="0" vertical="bottom" wrapText="1"/>
    </xf>
    <xf borderId="2" fillId="2" fontId="6" numFmtId="0" xfId="0" applyAlignment="1" applyBorder="1" applyFont="1">
      <alignment horizontal="center" shrinkToFit="0" vertical="bottom" wrapText="1"/>
    </xf>
    <xf borderId="3" fillId="3" fontId="6" numFmtId="0" xfId="0" applyAlignment="1" applyBorder="1" applyFill="1" applyFont="1">
      <alignment horizontal="center" readingOrder="0" shrinkToFit="0" vertical="bottom" wrapText="0"/>
    </xf>
    <xf borderId="4" fillId="0" fontId="7" numFmtId="0" xfId="0" applyBorder="1" applyFont="1"/>
    <xf borderId="4" fillId="4" fontId="6" numFmtId="0" xfId="0" applyAlignment="1" applyBorder="1" applyFill="1" applyFont="1">
      <alignment horizontal="center" readingOrder="0" shrinkToFit="0" vertical="bottom" wrapText="1"/>
    </xf>
    <xf borderId="5" fillId="0" fontId="7" numFmtId="0" xfId="0" applyBorder="1" applyFont="1"/>
    <xf borderId="2" fillId="5" fontId="6" numFmtId="0" xfId="0" applyAlignment="1" applyBorder="1" applyFill="1" applyFont="1">
      <alignment horizontal="center" readingOrder="0" shrinkToFit="0" vertical="bottom" wrapText="0"/>
    </xf>
    <xf borderId="2" fillId="0" fontId="7" numFmtId="0" xfId="0" applyBorder="1" applyFont="1"/>
    <xf borderId="3" fillId="6" fontId="8" numFmtId="0" xfId="0" applyAlignment="1" applyBorder="1" applyFill="1" applyFont="1">
      <alignment horizontal="center" readingOrder="0" shrinkToFit="0" vertical="bottom" wrapText="1"/>
    </xf>
    <xf borderId="2" fillId="7" fontId="6" numFmtId="0" xfId="0" applyAlignment="1" applyBorder="1" applyFill="1" applyFont="1">
      <alignment horizontal="center" readingOrder="0" shrinkToFit="0" vertical="bottom" wrapText="0"/>
    </xf>
    <xf borderId="4" fillId="8" fontId="8" numFmtId="0" xfId="0" applyAlignment="1" applyBorder="1" applyFill="1" applyFont="1">
      <alignment horizontal="center" readingOrder="0" shrinkToFit="0" vertical="bottom" wrapText="1"/>
    </xf>
    <xf borderId="6" fillId="8" fontId="9" numFmtId="0" xfId="0" applyAlignment="1" applyBorder="1" applyFont="1">
      <alignment horizontal="center" readingOrder="0" shrinkToFit="0" vertical="center" wrapText="1"/>
    </xf>
    <xf borderId="3" fillId="9" fontId="10" numFmtId="0" xfId="0" applyAlignment="1" applyBorder="1" applyFill="1" applyFont="1">
      <alignment horizontal="center" readingOrder="0" shrinkToFit="0" vertical="bottom" wrapText="1"/>
    </xf>
    <xf borderId="0" fillId="0" fontId="4" numFmtId="0" xfId="0" applyAlignment="1" applyFont="1">
      <alignment horizontal="center" readingOrder="0" shrinkToFit="0" vertical="bottom" wrapText="1"/>
    </xf>
    <xf borderId="1" fillId="0" fontId="4" numFmtId="0" xfId="0" applyAlignment="1" applyBorder="1" applyFont="1">
      <alignment horizontal="center" readingOrder="0" shrinkToFit="0" vertical="bottom" wrapText="1"/>
    </xf>
    <xf borderId="2" fillId="0" fontId="4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readingOrder="0"/>
    </xf>
    <xf borderId="7" fillId="0" fontId="7" numFmtId="0" xfId="0" applyBorder="1" applyFont="1"/>
    <xf borderId="8" fillId="0" fontId="7" numFmtId="0" xfId="0" applyBorder="1" applyFont="1"/>
    <xf borderId="2" fillId="5" fontId="11" numFmtId="0" xfId="0" applyAlignment="1" applyBorder="1" applyFont="1">
      <alignment horizontal="center" readingOrder="0" shrinkToFit="0" vertical="center" wrapText="1"/>
    </xf>
    <xf borderId="9" fillId="5" fontId="11" numFmtId="0" xfId="0" applyAlignment="1" applyBorder="1" applyFont="1">
      <alignment horizontal="center" readingOrder="0" shrinkToFit="0" vertical="center" wrapText="1"/>
    </xf>
    <xf borderId="2" fillId="5" fontId="12" numFmtId="0" xfId="0" applyAlignment="1" applyBorder="1" applyFont="1">
      <alignment horizontal="center" readingOrder="0" shrinkToFit="0" vertical="center" wrapText="1"/>
    </xf>
    <xf borderId="1" fillId="5" fontId="12" numFmtId="0" xfId="0" applyAlignment="1" applyBorder="1" applyFont="1">
      <alignment horizontal="center" readingOrder="0" shrinkToFit="0" vertical="center" wrapText="1"/>
    </xf>
    <xf borderId="9" fillId="5" fontId="12" numFmtId="0" xfId="0" applyAlignment="1" applyBorder="1" applyFont="1">
      <alignment horizontal="center" readingOrder="0" shrinkToFit="0" vertical="center" wrapText="1"/>
    </xf>
    <xf borderId="10" fillId="5" fontId="12" numFmtId="0" xfId="0" applyAlignment="1" applyBorder="1" applyFont="1">
      <alignment horizontal="center" readingOrder="0" shrinkToFit="0" vertical="center" wrapText="1"/>
    </xf>
    <xf borderId="11" fillId="0" fontId="7" numFmtId="0" xfId="0" applyBorder="1" applyFont="1"/>
    <xf borderId="12" fillId="0" fontId="7" numFmtId="0" xfId="0" applyBorder="1" applyFont="1"/>
    <xf borderId="13" fillId="0" fontId="7" numFmtId="0" xfId="0" applyBorder="1" applyFont="1"/>
    <xf borderId="2" fillId="7" fontId="11" numFmtId="0" xfId="0" applyAlignment="1" applyBorder="1" applyFont="1">
      <alignment horizontal="center" readingOrder="0" shrinkToFit="0" vertical="center" wrapText="1"/>
    </xf>
    <xf borderId="9" fillId="7" fontId="11" numFmtId="0" xfId="0" applyAlignment="1" applyBorder="1" applyFont="1">
      <alignment horizontal="center" readingOrder="0" shrinkToFit="0" vertical="center" wrapText="1"/>
    </xf>
    <xf borderId="2" fillId="7" fontId="12" numFmtId="0" xfId="0" applyAlignment="1" applyBorder="1" applyFont="1">
      <alignment horizontal="center" readingOrder="0" shrinkToFit="0" vertical="center" wrapText="1"/>
    </xf>
    <xf borderId="1" fillId="7" fontId="12" numFmtId="0" xfId="0" applyAlignment="1" applyBorder="1" applyFont="1">
      <alignment horizontal="center" readingOrder="0" shrinkToFit="0" vertical="center" wrapText="1"/>
    </xf>
    <xf borderId="9" fillId="7" fontId="12" numFmtId="0" xfId="0" applyAlignment="1" applyBorder="1" applyFont="1">
      <alignment horizontal="center" readingOrder="0" shrinkToFit="0" vertical="center" wrapText="1"/>
    </xf>
    <xf borderId="14" fillId="0" fontId="7" numFmtId="0" xfId="0" applyBorder="1" applyFont="1"/>
    <xf borderId="0" fillId="0" fontId="11" numFmtId="0" xfId="0" applyAlignment="1" applyFont="1">
      <alignment horizontal="center" readingOrder="0" shrinkToFit="0" vertical="bottom" wrapText="1"/>
    </xf>
    <xf borderId="10" fillId="0" fontId="11" numFmtId="0" xfId="0" applyAlignment="1" applyBorder="1" applyFont="1">
      <alignment horizontal="center" readingOrder="0" shrinkToFit="0" vertical="bottom" wrapText="1"/>
    </xf>
    <xf borderId="10" fillId="0" fontId="11" numFmtId="0" xfId="0" applyAlignment="1" applyBorder="1" applyFont="1">
      <alignment horizontal="center" shrinkToFit="0" vertical="bottom" wrapText="1"/>
    </xf>
    <xf borderId="10" fillId="0" fontId="13" numFmtId="0" xfId="0" applyAlignment="1" applyBorder="1" applyFont="1">
      <alignment readingOrder="0"/>
    </xf>
    <xf borderId="10" fillId="3" fontId="11" numFmtId="0" xfId="0" applyAlignment="1" applyBorder="1" applyFont="1">
      <alignment horizontal="center" readingOrder="0" shrinkToFit="0" vertical="center" wrapText="1"/>
    </xf>
    <xf borderId="10" fillId="4" fontId="11" numFmtId="0" xfId="0" applyAlignment="1" applyBorder="1" applyFont="1">
      <alignment horizontal="center" readingOrder="0" shrinkToFit="0" vertical="center" wrapText="1"/>
    </xf>
    <xf borderId="10" fillId="5" fontId="11" numFmtId="0" xfId="0" applyAlignment="1" applyBorder="1" applyFont="1">
      <alignment horizontal="center" readingOrder="0" shrinkToFit="0" vertical="center" wrapText="1"/>
    </xf>
    <xf borderId="15" fillId="5" fontId="12" numFmtId="0" xfId="0" applyAlignment="1" applyBorder="1" applyFont="1">
      <alignment horizontal="center" readingOrder="0" shrinkToFit="0" vertical="center" wrapText="1"/>
    </xf>
    <xf borderId="10" fillId="6" fontId="12" numFmtId="0" xfId="0" applyAlignment="1" applyBorder="1" applyFont="1">
      <alignment horizontal="center" readingOrder="0" shrinkToFit="0" vertical="center" wrapText="1"/>
    </xf>
    <xf borderId="10" fillId="7" fontId="11" numFmtId="0" xfId="0" applyAlignment="1" applyBorder="1" applyFont="1">
      <alignment horizontal="center" readingOrder="0" shrinkToFit="0" vertical="center" wrapText="1"/>
    </xf>
    <xf borderId="10" fillId="7" fontId="12" numFmtId="0" xfId="0" applyAlignment="1" applyBorder="1" applyFont="1">
      <alignment horizontal="center" readingOrder="0" shrinkToFit="0" vertical="center" wrapText="1"/>
    </xf>
    <xf borderId="15" fillId="7" fontId="12" numFmtId="0" xfId="0" applyAlignment="1" applyBorder="1" applyFont="1">
      <alignment horizontal="center" readingOrder="0" shrinkToFit="0" vertical="center" wrapText="1"/>
    </xf>
    <xf borderId="10" fillId="8" fontId="12" numFmtId="0" xfId="0" applyAlignment="1" applyBorder="1" applyFont="1">
      <alignment horizontal="center" readingOrder="0" shrinkToFit="0" vertical="center" wrapText="1"/>
    </xf>
    <xf borderId="15" fillId="0" fontId="7" numFmtId="0" xfId="0" applyBorder="1" applyFont="1"/>
    <xf borderId="10" fillId="9" fontId="14" numFmtId="0" xfId="0" applyAlignment="1" applyBorder="1" applyFont="1">
      <alignment horizontal="center" readingOrder="0" shrinkToFit="0" vertical="center" wrapText="1"/>
    </xf>
    <xf borderId="0" fillId="0" fontId="15" numFmtId="165" xfId="0" applyAlignment="1" applyFont="1" applyNumberFormat="1">
      <alignment horizontal="center" readingOrder="0" shrinkToFit="0" vertical="center" wrapText="1"/>
    </xf>
    <xf borderId="10" fillId="0" fontId="15" numFmtId="165" xfId="0" applyAlignment="1" applyBorder="1" applyFont="1" applyNumberFormat="1">
      <alignment horizontal="center" readingOrder="0" shrinkToFit="0" vertical="center" wrapText="1"/>
    </xf>
    <xf borderId="10" fillId="0" fontId="15" numFmtId="0" xfId="0" applyAlignment="1" applyBorder="1" applyFont="1">
      <alignment horizontal="center" readingOrder="0" shrinkToFit="0" vertical="center" wrapText="1"/>
    </xf>
    <xf borderId="10" fillId="0" fontId="4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15" fillId="0" fontId="4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10" fillId="0" fontId="4" numFmtId="165" xfId="0" applyAlignment="1" applyBorder="1" applyFont="1" applyNumberFormat="1">
      <alignment horizontal="center" readingOrder="0" shrinkToFit="0" vertical="bottom" wrapText="0"/>
    </xf>
    <xf borderId="0" fillId="10" fontId="4" numFmtId="0" xfId="0" applyAlignment="1" applyFill="1" applyFont="1">
      <alignment horizontal="center" readingOrder="0" shrinkToFit="0" vertical="bottom" wrapText="0"/>
    </xf>
    <xf borderId="10" fillId="10" fontId="4" numFmtId="0" xfId="0" applyAlignment="1" applyBorder="1" applyFont="1">
      <alignment horizontal="center" readingOrder="0" shrinkToFit="0" vertical="bottom" wrapText="0"/>
    </xf>
    <xf borderId="10" fillId="10" fontId="4" numFmtId="0" xfId="0" applyAlignment="1" applyBorder="1" applyFont="1">
      <alignment shrinkToFit="0" vertical="bottom" wrapText="0"/>
    </xf>
    <xf borderId="10" fillId="10" fontId="4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0" fillId="0" fontId="16" numFmtId="0" xfId="0" applyAlignment="1" applyFont="1">
      <alignment horizontal="center" readingOrder="0"/>
    </xf>
    <xf borderId="0" fillId="0" fontId="17" numFmtId="0" xfId="0" applyAlignment="1" applyFont="1">
      <alignment horizontal="center" readingOrder="0" shrinkToFit="0" vertical="center" wrapText="0"/>
    </xf>
    <xf borderId="0" fillId="0" fontId="18" numFmtId="0" xfId="0" applyAlignment="1" applyFont="1">
      <alignment horizontal="center" readingOrder="0"/>
    </xf>
    <xf borderId="0" fillId="0" fontId="2" numFmtId="0" xfId="0" applyFont="1"/>
    <xf borderId="0" fillId="0" fontId="19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right" readingOrder="0" shrinkToFit="0" wrapText="1"/>
    </xf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1" width="3.14"/>
    <col customWidth="1" min="2" max="2" width="10.0"/>
    <col customWidth="1" min="3" max="3" width="10.43"/>
    <col customWidth="1" min="4" max="4" width="7.86"/>
    <col customWidth="1" min="5" max="5" width="9.43"/>
    <col customWidth="1" min="6" max="6" width="12.43"/>
    <col customWidth="1" min="7" max="7" width="11.57"/>
    <col customWidth="1" min="8" max="8" width="9.0"/>
    <col customWidth="1" min="9" max="9" width="9.71"/>
    <col customWidth="1" min="10" max="10" width="10.71"/>
    <col customWidth="1" min="11" max="11" width="10.43"/>
    <col customWidth="1" min="12" max="13" width="9.29"/>
    <col customWidth="1" min="14" max="14" width="11.71"/>
    <col customWidth="1" min="15" max="15" width="11.86"/>
    <col customWidth="1" min="16" max="20" width="9.29"/>
    <col customWidth="1" min="21" max="21" width="11.14"/>
    <col customWidth="1" min="22" max="22" width="10.71"/>
    <col customWidth="1" min="23" max="25" width="9.29"/>
    <col customWidth="1" min="26" max="28" width="7.86"/>
    <col customWidth="1" min="29" max="29" width="14.0"/>
    <col customWidth="1" min="30" max="30" width="11.71"/>
    <col customWidth="1" min="31" max="31" width="7.86"/>
    <col customWidth="1" min="32" max="32" width="10.57"/>
    <col customWidth="1" min="33" max="33" width="7.86"/>
    <col customWidth="1" min="34" max="34" width="10.29"/>
    <col customWidth="1" min="35" max="35" width="7.86"/>
    <col customWidth="1" min="36" max="36" width="9.43"/>
    <col customWidth="1" min="37" max="38" width="7.86"/>
    <col customWidth="1" min="39" max="41" width="9.29"/>
    <col customWidth="1" min="42" max="42" width="10.29"/>
    <col customWidth="1" min="43" max="43" width="10.14"/>
  </cols>
  <sheetData>
    <row r="1" ht="12.75" customHeight="1">
      <c r="A1" s="1"/>
      <c r="B1" s="1" t="s">
        <v>0</v>
      </c>
      <c r="C1" s="2"/>
      <c r="D1" s="2"/>
      <c r="F1" s="3"/>
    </row>
    <row r="2" ht="12.0" customHeight="1">
      <c r="A2" s="4"/>
      <c r="B2" s="4">
        <v>45965.0</v>
      </c>
    </row>
    <row r="3" ht="19.5" customHeight="1">
      <c r="A3" s="5"/>
      <c r="B3" s="6" t="s">
        <v>1</v>
      </c>
      <c r="C3" s="7"/>
      <c r="D3" s="7"/>
      <c r="E3" s="8" t="s">
        <v>2</v>
      </c>
      <c r="F3" s="9"/>
      <c r="G3" s="10" t="s">
        <v>3</v>
      </c>
      <c r="H3" s="9"/>
      <c r="I3" s="9"/>
      <c r="J3" s="11"/>
      <c r="K3" s="12" t="s">
        <v>4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4" t="s">
        <v>5</v>
      </c>
      <c r="Y3" s="9"/>
      <c r="Z3" s="11"/>
      <c r="AA3" s="15" t="s">
        <v>6</v>
      </c>
      <c r="AB3" s="13"/>
      <c r="AC3" s="13"/>
      <c r="AD3" s="13"/>
      <c r="AE3" s="13"/>
      <c r="AF3" s="13"/>
      <c r="AG3" s="13"/>
      <c r="AH3" s="13"/>
      <c r="AI3" s="13"/>
      <c r="AJ3" s="16" t="s">
        <v>7</v>
      </c>
      <c r="AK3" s="9"/>
      <c r="AL3" s="9"/>
      <c r="AM3" s="11"/>
      <c r="AN3" s="17" t="s">
        <v>8</v>
      </c>
      <c r="AO3" s="18" t="s">
        <v>9</v>
      </c>
      <c r="AP3" s="9"/>
      <c r="AQ3" s="11"/>
    </row>
    <row r="4" ht="15.0" customHeight="1">
      <c r="A4" s="19"/>
      <c r="B4" s="20"/>
      <c r="C4" s="21"/>
      <c r="D4" s="22"/>
      <c r="E4" s="23"/>
      <c r="J4" s="24"/>
      <c r="K4" s="25" t="s">
        <v>10</v>
      </c>
      <c r="L4" s="26" t="s">
        <v>10</v>
      </c>
      <c r="M4" s="25" t="s">
        <v>11</v>
      </c>
      <c r="N4" s="27" t="s">
        <v>11</v>
      </c>
      <c r="O4" s="28" t="s">
        <v>12</v>
      </c>
      <c r="P4" s="27" t="s">
        <v>12</v>
      </c>
      <c r="Q4" s="28" t="s">
        <v>13</v>
      </c>
      <c r="R4" s="27" t="s">
        <v>14</v>
      </c>
      <c r="S4" s="29" t="s">
        <v>14</v>
      </c>
      <c r="T4" s="28" t="s">
        <v>15</v>
      </c>
      <c r="U4" s="29" t="s">
        <v>15</v>
      </c>
      <c r="V4" s="30" t="s">
        <v>16</v>
      </c>
      <c r="W4" s="29" t="s">
        <v>16</v>
      </c>
      <c r="X4" s="31"/>
      <c r="Y4" s="32"/>
      <c r="Z4" s="33"/>
      <c r="AA4" s="34" t="s">
        <v>10</v>
      </c>
      <c r="AB4" s="35" t="s">
        <v>11</v>
      </c>
      <c r="AC4" s="34" t="s">
        <v>11</v>
      </c>
      <c r="AD4" s="36" t="s">
        <v>12</v>
      </c>
      <c r="AE4" s="37" t="s">
        <v>13</v>
      </c>
      <c r="AF4" s="36" t="s">
        <v>13</v>
      </c>
      <c r="AG4" s="37" t="s">
        <v>14</v>
      </c>
      <c r="AH4" s="36" t="s">
        <v>15</v>
      </c>
      <c r="AI4" s="38" t="s">
        <v>16</v>
      </c>
      <c r="AJ4" s="32"/>
      <c r="AK4" s="32"/>
      <c r="AL4" s="32"/>
      <c r="AM4" s="33"/>
      <c r="AN4" s="39"/>
      <c r="AO4" s="31"/>
      <c r="AP4" s="32"/>
      <c r="AQ4" s="33"/>
    </row>
    <row r="5" ht="58.5" customHeight="1">
      <c r="A5" s="40"/>
      <c r="B5" s="41" t="s">
        <v>17</v>
      </c>
      <c r="C5" s="42" t="s">
        <v>18</v>
      </c>
      <c r="D5" s="43" t="s">
        <v>19</v>
      </c>
      <c r="E5" s="44" t="s">
        <v>20</v>
      </c>
      <c r="F5" s="44" t="s">
        <v>21</v>
      </c>
      <c r="G5" s="45" t="s">
        <v>22</v>
      </c>
      <c r="H5" s="45" t="s">
        <v>23</v>
      </c>
      <c r="I5" s="45" t="s">
        <v>24</v>
      </c>
      <c r="J5" s="45" t="s">
        <v>25</v>
      </c>
      <c r="K5" s="46" t="s">
        <v>26</v>
      </c>
      <c r="L5" s="46" t="s">
        <v>27</v>
      </c>
      <c r="M5" s="46" t="s">
        <v>28</v>
      </c>
      <c r="N5" s="30" t="s">
        <v>29</v>
      </c>
      <c r="O5" s="30" t="s">
        <v>30</v>
      </c>
      <c r="P5" s="30" t="s">
        <v>31</v>
      </c>
      <c r="Q5" s="47" t="s">
        <v>32</v>
      </c>
      <c r="R5" s="30" t="s">
        <v>33</v>
      </c>
      <c r="S5" s="30" t="s">
        <v>34</v>
      </c>
      <c r="T5" s="30" t="s">
        <v>35</v>
      </c>
      <c r="U5" s="30" t="s">
        <v>36</v>
      </c>
      <c r="V5" s="30" t="s">
        <v>37</v>
      </c>
      <c r="W5" s="30" t="s">
        <v>38</v>
      </c>
      <c r="X5" s="48" t="s">
        <v>39</v>
      </c>
      <c r="Y5" s="48" t="s">
        <v>40</v>
      </c>
      <c r="Z5" s="48" t="s">
        <v>41</v>
      </c>
      <c r="AA5" s="49" t="s">
        <v>42</v>
      </c>
      <c r="AB5" s="49" t="s">
        <v>43</v>
      </c>
      <c r="AC5" s="49" t="s">
        <v>44</v>
      </c>
      <c r="AD5" s="50" t="s">
        <v>45</v>
      </c>
      <c r="AE5" s="50" t="s">
        <v>46</v>
      </c>
      <c r="AF5" s="50" t="s">
        <v>47</v>
      </c>
      <c r="AG5" s="51" t="s">
        <v>48</v>
      </c>
      <c r="AH5" s="50" t="s">
        <v>49</v>
      </c>
      <c r="AI5" s="50" t="s">
        <v>50</v>
      </c>
      <c r="AJ5" s="52" t="s">
        <v>51</v>
      </c>
      <c r="AK5" s="52" t="s">
        <v>52</v>
      </c>
      <c r="AL5" s="52" t="s">
        <v>53</v>
      </c>
      <c r="AM5" s="52" t="s">
        <v>54</v>
      </c>
      <c r="AN5" s="53"/>
      <c r="AO5" s="54" t="s">
        <v>55</v>
      </c>
      <c r="AP5" s="54" t="s">
        <v>56</v>
      </c>
      <c r="AQ5" s="54" t="s">
        <v>57</v>
      </c>
    </row>
    <row r="6" ht="16.5" customHeight="1">
      <c r="A6" s="55"/>
      <c r="B6" s="56"/>
      <c r="C6" s="57"/>
      <c r="D6" s="58"/>
      <c r="E6" s="22" t="s">
        <v>58</v>
      </c>
      <c r="F6" s="58"/>
      <c r="G6" s="58"/>
      <c r="H6" s="58"/>
      <c r="I6" s="58"/>
      <c r="J6" s="58"/>
      <c r="K6" s="58"/>
      <c r="L6" s="58"/>
      <c r="M6" s="58"/>
      <c r="N6" s="59"/>
      <c r="O6" s="58"/>
      <c r="P6" s="58"/>
      <c r="Q6" s="60"/>
      <c r="R6" s="58"/>
      <c r="S6" s="58"/>
      <c r="T6" s="58"/>
      <c r="U6" s="58"/>
      <c r="V6" s="58"/>
      <c r="W6" s="59"/>
      <c r="X6" s="59"/>
      <c r="Y6" s="59"/>
      <c r="Z6" s="59"/>
      <c r="AA6" s="58"/>
      <c r="AB6" s="58"/>
      <c r="AC6" s="58"/>
      <c r="AD6" s="59"/>
      <c r="AE6" s="58"/>
      <c r="AF6" s="58"/>
      <c r="AG6" s="60"/>
      <c r="AH6" s="58"/>
      <c r="AI6" s="58"/>
      <c r="AJ6" s="58"/>
      <c r="AK6" s="58"/>
      <c r="AL6" s="58"/>
      <c r="AM6" s="59"/>
      <c r="AN6" s="59"/>
      <c r="AO6" s="59"/>
      <c r="AP6" s="59"/>
      <c r="AQ6" s="59"/>
    </row>
    <row r="7" ht="16.5" customHeight="1">
      <c r="A7" s="55"/>
      <c r="B7" s="56">
        <v>0.8333333333333334</v>
      </c>
      <c r="C7" s="57" t="s">
        <v>59</v>
      </c>
      <c r="D7" s="58">
        <v>19.0</v>
      </c>
      <c r="E7" s="58">
        <v>7.0</v>
      </c>
      <c r="F7" s="58">
        <v>12.0</v>
      </c>
      <c r="G7" s="58">
        <v>9.0</v>
      </c>
      <c r="H7" s="58">
        <v>4.0</v>
      </c>
      <c r="I7" s="58">
        <v>10.0</v>
      </c>
      <c r="J7" s="58">
        <v>10.0</v>
      </c>
      <c r="K7" s="58">
        <v>1.0</v>
      </c>
      <c r="L7" s="58">
        <v>3.0</v>
      </c>
      <c r="M7" s="58">
        <v>1.0</v>
      </c>
      <c r="N7" s="58">
        <v>5.0</v>
      </c>
      <c r="O7" s="58">
        <v>2.0</v>
      </c>
      <c r="P7" s="58"/>
      <c r="Q7" s="58"/>
      <c r="R7" s="58"/>
      <c r="S7" s="58"/>
      <c r="T7" s="58">
        <v>1.0</v>
      </c>
      <c r="U7" s="58">
        <v>1.0</v>
      </c>
      <c r="V7" s="58"/>
      <c r="W7" s="58">
        <v>3.0</v>
      </c>
      <c r="X7" s="58">
        <v>7.0</v>
      </c>
      <c r="Y7" s="58">
        <v>12.0</v>
      </c>
      <c r="Z7" s="58">
        <v>11.0</v>
      </c>
      <c r="AA7" s="58">
        <v>4.0</v>
      </c>
      <c r="AB7" s="58">
        <v>2.0</v>
      </c>
      <c r="AC7" s="58">
        <v>4.0</v>
      </c>
      <c r="AD7" s="58"/>
      <c r="AE7" s="58"/>
      <c r="AF7" s="58"/>
      <c r="AG7" s="58"/>
      <c r="AH7" s="58">
        <v>2.0</v>
      </c>
      <c r="AI7" s="58">
        <v>1.0</v>
      </c>
      <c r="AJ7" s="58">
        <v>15.0</v>
      </c>
      <c r="AK7" s="58">
        <v>13.0</v>
      </c>
      <c r="AL7" s="58">
        <v>14.0</v>
      </c>
      <c r="AM7" s="58">
        <v>14.0</v>
      </c>
      <c r="AN7" s="58">
        <v>11.0</v>
      </c>
      <c r="AO7" s="58">
        <v>11.0</v>
      </c>
      <c r="AP7" s="58">
        <v>11.0</v>
      </c>
      <c r="AQ7" s="58">
        <v>11.0</v>
      </c>
    </row>
    <row r="8" ht="12.75" customHeight="1">
      <c r="A8" s="61">
        <v>1.0</v>
      </c>
      <c r="B8" s="62">
        <v>0.3680555555555556</v>
      </c>
      <c r="C8" s="58" t="s">
        <v>60</v>
      </c>
      <c r="D8" s="58">
        <v>598.0</v>
      </c>
      <c r="E8" s="58">
        <v>224.0</v>
      </c>
      <c r="F8" s="58">
        <v>354.0</v>
      </c>
      <c r="G8" s="58">
        <v>292.0</v>
      </c>
      <c r="H8" s="58">
        <v>205.0</v>
      </c>
      <c r="I8" s="58">
        <v>296.0</v>
      </c>
      <c r="J8" s="58">
        <v>235.0</v>
      </c>
      <c r="K8" s="58"/>
      <c r="L8" s="58"/>
      <c r="M8" s="58">
        <v>239.0</v>
      </c>
      <c r="N8" s="58">
        <v>314.0</v>
      </c>
      <c r="O8" s="58"/>
      <c r="P8" s="58"/>
      <c r="Q8" s="58"/>
      <c r="R8" s="58"/>
      <c r="S8" s="58"/>
      <c r="T8" s="58"/>
      <c r="U8" s="58"/>
      <c r="V8" s="58"/>
      <c r="W8" s="58"/>
      <c r="X8" s="58">
        <v>349.0</v>
      </c>
      <c r="Y8" s="58">
        <v>245.0</v>
      </c>
      <c r="Z8" s="58">
        <v>219.0</v>
      </c>
      <c r="AA8" s="58"/>
      <c r="AB8" s="58">
        <v>255.0</v>
      </c>
      <c r="AC8" s="58">
        <v>288.0</v>
      </c>
      <c r="AD8" s="58"/>
      <c r="AE8" s="58"/>
      <c r="AF8" s="58"/>
      <c r="AG8" s="58"/>
      <c r="AH8" s="58"/>
      <c r="AI8" s="58"/>
      <c r="AJ8" s="58">
        <v>317.0</v>
      </c>
      <c r="AK8" s="58">
        <v>294.0</v>
      </c>
      <c r="AL8" s="58">
        <v>300.0</v>
      </c>
      <c r="AM8" s="58">
        <v>282.0</v>
      </c>
      <c r="AN8" s="58">
        <v>352.0</v>
      </c>
      <c r="AO8" s="58">
        <v>311.0</v>
      </c>
      <c r="AP8" s="58">
        <v>299.0</v>
      </c>
      <c r="AQ8" s="58">
        <v>312.0</v>
      </c>
    </row>
    <row r="9" ht="12.75" customHeight="1">
      <c r="A9" s="61">
        <v>2.0</v>
      </c>
      <c r="B9" s="62">
        <v>0.38125</v>
      </c>
      <c r="C9" s="58" t="s">
        <v>61</v>
      </c>
      <c r="D9" s="58">
        <v>811.0</v>
      </c>
      <c r="E9" s="58">
        <v>390.0</v>
      </c>
      <c r="F9" s="58">
        <v>411.0</v>
      </c>
      <c r="G9" s="58">
        <v>354.0</v>
      </c>
      <c r="H9" s="58">
        <v>323.0</v>
      </c>
      <c r="I9" s="58">
        <v>377.0</v>
      </c>
      <c r="J9" s="58">
        <v>373.0</v>
      </c>
      <c r="K9" s="58">
        <v>403.0</v>
      </c>
      <c r="L9" s="58">
        <v>362.0</v>
      </c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>
        <v>425.0</v>
      </c>
      <c r="Y9" s="58">
        <v>395.0</v>
      </c>
      <c r="Z9" s="58">
        <v>383.0</v>
      </c>
      <c r="AA9" s="58">
        <v>556.0</v>
      </c>
      <c r="AB9" s="58"/>
      <c r="AC9" s="58"/>
      <c r="AD9" s="58"/>
      <c r="AE9" s="58"/>
      <c r="AF9" s="58"/>
      <c r="AG9" s="58"/>
      <c r="AH9" s="58"/>
      <c r="AI9" s="58"/>
      <c r="AJ9" s="58">
        <v>432.0</v>
      </c>
      <c r="AK9" s="58">
        <v>422.0</v>
      </c>
      <c r="AL9" s="58">
        <v>414.0</v>
      </c>
      <c r="AM9" s="58">
        <v>411.0</v>
      </c>
      <c r="AN9" s="58">
        <v>521.0</v>
      </c>
      <c r="AO9" s="58">
        <v>439.0</v>
      </c>
      <c r="AP9" s="58">
        <v>458.0</v>
      </c>
      <c r="AQ9" s="58">
        <v>471.0</v>
      </c>
    </row>
    <row r="10" ht="12.75" customHeight="1">
      <c r="A10" s="63"/>
      <c r="B10" s="64"/>
      <c r="C10" s="65" t="s">
        <v>62</v>
      </c>
      <c r="D10" s="66">
        <f t="shared" ref="D10:AQ10" si="1">SUM(D7:D9)</f>
        <v>1428</v>
      </c>
      <c r="E10" s="65">
        <f t="shared" si="1"/>
        <v>621</v>
      </c>
      <c r="F10" s="65">
        <f t="shared" si="1"/>
        <v>777</v>
      </c>
      <c r="G10" s="65">
        <f t="shared" si="1"/>
        <v>655</v>
      </c>
      <c r="H10" s="65">
        <f t="shared" si="1"/>
        <v>532</v>
      </c>
      <c r="I10" s="65">
        <f t="shared" si="1"/>
        <v>683</v>
      </c>
      <c r="J10" s="65">
        <f t="shared" si="1"/>
        <v>618</v>
      </c>
      <c r="K10" s="65">
        <f t="shared" si="1"/>
        <v>404</v>
      </c>
      <c r="L10" s="65">
        <f t="shared" si="1"/>
        <v>365</v>
      </c>
      <c r="M10" s="65">
        <f t="shared" si="1"/>
        <v>240</v>
      </c>
      <c r="N10" s="65">
        <f t="shared" si="1"/>
        <v>319</v>
      </c>
      <c r="O10" s="65">
        <f t="shared" si="1"/>
        <v>2</v>
      </c>
      <c r="P10" s="65">
        <f t="shared" si="1"/>
        <v>0</v>
      </c>
      <c r="Q10" s="65">
        <f t="shared" si="1"/>
        <v>0</v>
      </c>
      <c r="R10" s="65">
        <f t="shared" si="1"/>
        <v>0</v>
      </c>
      <c r="S10" s="65">
        <f t="shared" si="1"/>
        <v>0</v>
      </c>
      <c r="T10" s="65">
        <f t="shared" si="1"/>
        <v>1</v>
      </c>
      <c r="U10" s="65">
        <f t="shared" si="1"/>
        <v>1</v>
      </c>
      <c r="V10" s="65">
        <f t="shared" si="1"/>
        <v>0</v>
      </c>
      <c r="W10" s="65">
        <f t="shared" si="1"/>
        <v>3</v>
      </c>
      <c r="X10" s="65">
        <f t="shared" si="1"/>
        <v>781</v>
      </c>
      <c r="Y10" s="65">
        <f t="shared" si="1"/>
        <v>652</v>
      </c>
      <c r="Z10" s="65">
        <f t="shared" si="1"/>
        <v>613</v>
      </c>
      <c r="AA10" s="65">
        <f t="shared" si="1"/>
        <v>560</v>
      </c>
      <c r="AB10" s="65">
        <f t="shared" si="1"/>
        <v>257</v>
      </c>
      <c r="AC10" s="65">
        <f t="shared" si="1"/>
        <v>292</v>
      </c>
      <c r="AD10" s="65">
        <f t="shared" si="1"/>
        <v>0</v>
      </c>
      <c r="AE10" s="65">
        <f t="shared" si="1"/>
        <v>0</v>
      </c>
      <c r="AF10" s="65">
        <f t="shared" si="1"/>
        <v>0</v>
      </c>
      <c r="AG10" s="65">
        <f t="shared" si="1"/>
        <v>0</v>
      </c>
      <c r="AH10" s="65">
        <f t="shared" si="1"/>
        <v>2</v>
      </c>
      <c r="AI10" s="65">
        <f t="shared" si="1"/>
        <v>1</v>
      </c>
      <c r="AJ10" s="65">
        <f t="shared" si="1"/>
        <v>764</v>
      </c>
      <c r="AK10" s="65">
        <f t="shared" si="1"/>
        <v>729</v>
      </c>
      <c r="AL10" s="65">
        <f t="shared" si="1"/>
        <v>728</v>
      </c>
      <c r="AM10" s="65">
        <f t="shared" si="1"/>
        <v>707</v>
      </c>
      <c r="AN10" s="65">
        <f t="shared" si="1"/>
        <v>884</v>
      </c>
      <c r="AO10" s="65">
        <f t="shared" si="1"/>
        <v>761</v>
      </c>
      <c r="AP10" s="65">
        <f t="shared" si="1"/>
        <v>768</v>
      </c>
      <c r="AQ10" s="65">
        <f t="shared" si="1"/>
        <v>794</v>
      </c>
    </row>
    <row r="11" ht="12.75" customHeight="1">
      <c r="A11" s="61">
        <v>3.0</v>
      </c>
      <c r="B11" s="62">
        <v>0.3854166666666667</v>
      </c>
      <c r="C11" s="58" t="s">
        <v>63</v>
      </c>
      <c r="D11" s="58">
        <v>676.0</v>
      </c>
      <c r="E11" s="58">
        <v>373.0</v>
      </c>
      <c r="F11" s="58">
        <v>285.0</v>
      </c>
      <c r="G11" s="58">
        <v>242.0</v>
      </c>
      <c r="H11" s="58">
        <v>272.0</v>
      </c>
      <c r="I11" s="58">
        <v>245.0</v>
      </c>
      <c r="J11" s="58">
        <v>333.0</v>
      </c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>
        <v>157.0</v>
      </c>
      <c r="W11" s="58">
        <v>457.0</v>
      </c>
      <c r="X11" s="58">
        <v>297.0</v>
      </c>
      <c r="Y11" s="58">
        <v>332.0</v>
      </c>
      <c r="Z11" s="58">
        <v>324.0</v>
      </c>
      <c r="AA11" s="58"/>
      <c r="AB11" s="58"/>
      <c r="AC11" s="58"/>
      <c r="AD11" s="58"/>
      <c r="AE11" s="58"/>
      <c r="AF11" s="58"/>
      <c r="AG11" s="58"/>
      <c r="AH11" s="58"/>
      <c r="AI11" s="58">
        <v>472.0</v>
      </c>
      <c r="AJ11" s="58">
        <v>334.0</v>
      </c>
      <c r="AK11" s="58">
        <v>308.0</v>
      </c>
      <c r="AL11" s="58">
        <v>294.0</v>
      </c>
      <c r="AM11" s="58">
        <v>299.0</v>
      </c>
      <c r="AN11" s="58">
        <v>423.0</v>
      </c>
      <c r="AO11" s="58">
        <v>343.0</v>
      </c>
      <c r="AP11" s="58">
        <v>360.0</v>
      </c>
      <c r="AQ11" s="58">
        <v>385.0</v>
      </c>
    </row>
    <row r="12" ht="12.75" customHeight="1">
      <c r="A12" s="63"/>
      <c r="B12" s="64"/>
      <c r="C12" s="65" t="s">
        <v>62</v>
      </c>
      <c r="D12" s="65">
        <f t="shared" ref="D12:AQ12" si="2">SUM(D10:D11)</f>
        <v>2104</v>
      </c>
      <c r="E12" s="65">
        <f t="shared" si="2"/>
        <v>994</v>
      </c>
      <c r="F12" s="65">
        <f t="shared" si="2"/>
        <v>1062</v>
      </c>
      <c r="G12" s="65">
        <f t="shared" si="2"/>
        <v>897</v>
      </c>
      <c r="H12" s="65">
        <f t="shared" si="2"/>
        <v>804</v>
      </c>
      <c r="I12" s="65">
        <f t="shared" si="2"/>
        <v>928</v>
      </c>
      <c r="J12" s="65">
        <f t="shared" si="2"/>
        <v>951</v>
      </c>
      <c r="K12" s="65">
        <f t="shared" si="2"/>
        <v>404</v>
      </c>
      <c r="L12" s="65">
        <f t="shared" si="2"/>
        <v>365</v>
      </c>
      <c r="M12" s="65">
        <f t="shared" si="2"/>
        <v>240</v>
      </c>
      <c r="N12" s="65">
        <f t="shared" si="2"/>
        <v>319</v>
      </c>
      <c r="O12" s="65">
        <f t="shared" si="2"/>
        <v>2</v>
      </c>
      <c r="P12" s="65">
        <f t="shared" si="2"/>
        <v>0</v>
      </c>
      <c r="Q12" s="65">
        <f t="shared" si="2"/>
        <v>0</v>
      </c>
      <c r="R12" s="65">
        <f t="shared" si="2"/>
        <v>0</v>
      </c>
      <c r="S12" s="65">
        <f t="shared" si="2"/>
        <v>0</v>
      </c>
      <c r="T12" s="65">
        <f t="shared" si="2"/>
        <v>1</v>
      </c>
      <c r="U12" s="65">
        <f t="shared" si="2"/>
        <v>1</v>
      </c>
      <c r="V12" s="65">
        <f t="shared" si="2"/>
        <v>157</v>
      </c>
      <c r="W12" s="65">
        <f t="shared" si="2"/>
        <v>460</v>
      </c>
      <c r="X12" s="65">
        <f t="shared" si="2"/>
        <v>1078</v>
      </c>
      <c r="Y12" s="65">
        <f t="shared" si="2"/>
        <v>984</v>
      </c>
      <c r="Z12" s="65">
        <f t="shared" si="2"/>
        <v>937</v>
      </c>
      <c r="AA12" s="65">
        <f t="shared" si="2"/>
        <v>560</v>
      </c>
      <c r="AB12" s="65">
        <f t="shared" si="2"/>
        <v>257</v>
      </c>
      <c r="AC12" s="65">
        <f t="shared" si="2"/>
        <v>292</v>
      </c>
      <c r="AD12" s="65">
        <f t="shared" si="2"/>
        <v>0</v>
      </c>
      <c r="AE12" s="65">
        <f t="shared" si="2"/>
        <v>0</v>
      </c>
      <c r="AF12" s="65">
        <f t="shared" si="2"/>
        <v>0</v>
      </c>
      <c r="AG12" s="65">
        <f t="shared" si="2"/>
        <v>0</v>
      </c>
      <c r="AH12" s="65">
        <f t="shared" si="2"/>
        <v>2</v>
      </c>
      <c r="AI12" s="65">
        <f t="shared" si="2"/>
        <v>473</v>
      </c>
      <c r="AJ12" s="65">
        <f t="shared" si="2"/>
        <v>1098</v>
      </c>
      <c r="AK12" s="65">
        <f t="shared" si="2"/>
        <v>1037</v>
      </c>
      <c r="AL12" s="65">
        <f t="shared" si="2"/>
        <v>1022</v>
      </c>
      <c r="AM12" s="65">
        <f t="shared" si="2"/>
        <v>1006</v>
      </c>
      <c r="AN12" s="65">
        <f t="shared" si="2"/>
        <v>1307</v>
      </c>
      <c r="AO12" s="65">
        <f t="shared" si="2"/>
        <v>1104</v>
      </c>
      <c r="AP12" s="65">
        <f t="shared" si="2"/>
        <v>1128</v>
      </c>
      <c r="AQ12" s="65">
        <f t="shared" si="2"/>
        <v>1179</v>
      </c>
    </row>
    <row r="13" ht="12.75" customHeight="1">
      <c r="A13" s="61">
        <v>4.0</v>
      </c>
      <c r="B13" s="62">
        <v>0.38680555555555557</v>
      </c>
      <c r="C13" s="58" t="s">
        <v>64</v>
      </c>
      <c r="D13" s="58">
        <v>621.0</v>
      </c>
      <c r="E13" s="58">
        <v>272.0</v>
      </c>
      <c r="F13" s="58">
        <v>339.0</v>
      </c>
      <c r="G13" s="58">
        <v>259.0</v>
      </c>
      <c r="H13" s="58">
        <v>225.0</v>
      </c>
      <c r="I13" s="58">
        <v>290.0</v>
      </c>
      <c r="J13" s="58">
        <v>284.0</v>
      </c>
      <c r="K13" s="58"/>
      <c r="L13" s="58"/>
      <c r="M13" s="58"/>
      <c r="N13" s="58"/>
      <c r="O13" s="58"/>
      <c r="P13" s="58"/>
      <c r="Q13" s="58"/>
      <c r="R13" s="58">
        <v>357.0</v>
      </c>
      <c r="S13" s="58">
        <v>229.0</v>
      </c>
      <c r="T13" s="58"/>
      <c r="U13" s="58"/>
      <c r="V13" s="58"/>
      <c r="W13" s="58"/>
      <c r="X13" s="58">
        <v>275.0</v>
      </c>
      <c r="Y13" s="58">
        <v>298.0</v>
      </c>
      <c r="Z13" s="58">
        <v>294.0</v>
      </c>
      <c r="AA13" s="58"/>
      <c r="AB13" s="58"/>
      <c r="AC13" s="58"/>
      <c r="AD13" s="58"/>
      <c r="AE13" s="58"/>
      <c r="AF13" s="58"/>
      <c r="AG13" s="58">
        <v>422.0</v>
      </c>
      <c r="AH13" s="58"/>
      <c r="AI13" s="58"/>
      <c r="AJ13" s="58">
        <v>310.0</v>
      </c>
      <c r="AK13" s="58">
        <v>294.0</v>
      </c>
      <c r="AL13" s="58">
        <v>280.0</v>
      </c>
      <c r="AM13" s="58">
        <v>276.0</v>
      </c>
      <c r="AN13" s="58">
        <v>389.0</v>
      </c>
      <c r="AO13" s="58">
        <v>308.0</v>
      </c>
      <c r="AP13" s="58">
        <v>315.0</v>
      </c>
      <c r="AQ13" s="58">
        <v>356.0</v>
      </c>
    </row>
    <row r="14" ht="12.75" customHeight="1">
      <c r="A14" s="63"/>
      <c r="B14" s="64"/>
      <c r="C14" s="65" t="s">
        <v>62</v>
      </c>
      <c r="D14" s="65">
        <f t="shared" ref="D14:AQ14" si="3">SUM(D12:D13)</f>
        <v>2725</v>
      </c>
      <c r="E14" s="65">
        <f t="shared" si="3"/>
        <v>1266</v>
      </c>
      <c r="F14" s="65">
        <f t="shared" si="3"/>
        <v>1401</v>
      </c>
      <c r="G14" s="65">
        <f t="shared" si="3"/>
        <v>1156</v>
      </c>
      <c r="H14" s="65">
        <f t="shared" si="3"/>
        <v>1029</v>
      </c>
      <c r="I14" s="65">
        <f t="shared" si="3"/>
        <v>1218</v>
      </c>
      <c r="J14" s="65">
        <f t="shared" si="3"/>
        <v>1235</v>
      </c>
      <c r="K14" s="65">
        <f t="shared" si="3"/>
        <v>404</v>
      </c>
      <c r="L14" s="65">
        <f t="shared" si="3"/>
        <v>365</v>
      </c>
      <c r="M14" s="65">
        <f t="shared" si="3"/>
        <v>240</v>
      </c>
      <c r="N14" s="65">
        <f t="shared" si="3"/>
        <v>319</v>
      </c>
      <c r="O14" s="65">
        <f t="shared" si="3"/>
        <v>2</v>
      </c>
      <c r="P14" s="65">
        <f t="shared" si="3"/>
        <v>0</v>
      </c>
      <c r="Q14" s="65">
        <f t="shared" si="3"/>
        <v>0</v>
      </c>
      <c r="R14" s="65">
        <f t="shared" si="3"/>
        <v>357</v>
      </c>
      <c r="S14" s="65">
        <f t="shared" si="3"/>
        <v>229</v>
      </c>
      <c r="T14" s="65">
        <f t="shared" si="3"/>
        <v>1</v>
      </c>
      <c r="U14" s="65">
        <f t="shared" si="3"/>
        <v>1</v>
      </c>
      <c r="V14" s="65">
        <f t="shared" si="3"/>
        <v>157</v>
      </c>
      <c r="W14" s="65">
        <f t="shared" si="3"/>
        <v>460</v>
      </c>
      <c r="X14" s="65">
        <f t="shared" si="3"/>
        <v>1353</v>
      </c>
      <c r="Y14" s="65">
        <f t="shared" si="3"/>
        <v>1282</v>
      </c>
      <c r="Z14" s="65">
        <f t="shared" si="3"/>
        <v>1231</v>
      </c>
      <c r="AA14" s="65">
        <f t="shared" si="3"/>
        <v>560</v>
      </c>
      <c r="AB14" s="65">
        <f t="shared" si="3"/>
        <v>257</v>
      </c>
      <c r="AC14" s="65">
        <f t="shared" si="3"/>
        <v>292</v>
      </c>
      <c r="AD14" s="65">
        <f t="shared" si="3"/>
        <v>0</v>
      </c>
      <c r="AE14" s="65">
        <f t="shared" si="3"/>
        <v>0</v>
      </c>
      <c r="AF14" s="65">
        <f t="shared" si="3"/>
        <v>0</v>
      </c>
      <c r="AG14" s="65">
        <f t="shared" si="3"/>
        <v>422</v>
      </c>
      <c r="AH14" s="65">
        <f t="shared" si="3"/>
        <v>2</v>
      </c>
      <c r="AI14" s="65">
        <f t="shared" si="3"/>
        <v>473</v>
      </c>
      <c r="AJ14" s="65">
        <f t="shared" si="3"/>
        <v>1408</v>
      </c>
      <c r="AK14" s="65">
        <f t="shared" si="3"/>
        <v>1331</v>
      </c>
      <c r="AL14" s="65">
        <f t="shared" si="3"/>
        <v>1302</v>
      </c>
      <c r="AM14" s="65">
        <f t="shared" si="3"/>
        <v>1282</v>
      </c>
      <c r="AN14" s="65">
        <f t="shared" si="3"/>
        <v>1696</v>
      </c>
      <c r="AO14" s="65">
        <f t="shared" si="3"/>
        <v>1412</v>
      </c>
      <c r="AP14" s="65">
        <f t="shared" si="3"/>
        <v>1443</v>
      </c>
      <c r="AQ14" s="65">
        <f t="shared" si="3"/>
        <v>1535</v>
      </c>
    </row>
    <row r="15" ht="12.75" customHeight="1">
      <c r="A15" s="61">
        <v>5.0</v>
      </c>
      <c r="B15" s="62">
        <v>0.39305555555555555</v>
      </c>
      <c r="C15" s="58" t="s">
        <v>65</v>
      </c>
      <c r="D15" s="58">
        <v>429.0</v>
      </c>
      <c r="E15" s="58">
        <v>204.0</v>
      </c>
      <c r="F15" s="58">
        <v>219.0</v>
      </c>
      <c r="G15" s="58">
        <v>167.0</v>
      </c>
      <c r="H15" s="58">
        <v>157.0</v>
      </c>
      <c r="I15" s="58">
        <v>190.0</v>
      </c>
      <c r="J15" s="58">
        <v>196.0</v>
      </c>
      <c r="K15" s="58"/>
      <c r="L15" s="58"/>
      <c r="M15" s="58"/>
      <c r="N15" s="58"/>
      <c r="O15" s="58"/>
      <c r="P15" s="58"/>
      <c r="Q15" s="58">
        <v>321.0</v>
      </c>
      <c r="R15" s="58"/>
      <c r="S15" s="58"/>
      <c r="T15" s="58"/>
      <c r="U15" s="58"/>
      <c r="V15" s="58"/>
      <c r="W15" s="58"/>
      <c r="X15" s="58">
        <v>176.0</v>
      </c>
      <c r="Y15" s="58">
        <v>205.0</v>
      </c>
      <c r="Z15" s="58">
        <v>195.0</v>
      </c>
      <c r="AA15" s="58"/>
      <c r="AB15" s="58"/>
      <c r="AC15" s="58"/>
      <c r="AD15" s="58"/>
      <c r="AE15" s="58">
        <v>235.0</v>
      </c>
      <c r="AF15" s="58">
        <v>123.0</v>
      </c>
      <c r="AG15" s="58"/>
      <c r="AH15" s="58"/>
      <c r="AI15" s="58"/>
      <c r="AJ15" s="58">
        <v>238.0</v>
      </c>
      <c r="AK15" s="58">
        <v>230.0</v>
      </c>
      <c r="AL15" s="58">
        <v>225.0</v>
      </c>
      <c r="AM15" s="58">
        <v>219.0</v>
      </c>
      <c r="AN15" s="58">
        <v>276.0</v>
      </c>
      <c r="AO15" s="58">
        <v>223.0</v>
      </c>
      <c r="AP15" s="58">
        <v>224.0</v>
      </c>
      <c r="AQ15" s="58">
        <v>257.0</v>
      </c>
    </row>
    <row r="16" ht="12.75" customHeight="1">
      <c r="A16" s="63"/>
      <c r="B16" s="64"/>
      <c r="C16" s="65" t="s">
        <v>62</v>
      </c>
      <c r="D16" s="65">
        <f t="shared" ref="D16:AQ16" si="4">SUM(D14:D15)</f>
        <v>3154</v>
      </c>
      <c r="E16" s="65">
        <f t="shared" si="4"/>
        <v>1470</v>
      </c>
      <c r="F16" s="65">
        <f t="shared" si="4"/>
        <v>1620</v>
      </c>
      <c r="G16" s="65">
        <f t="shared" si="4"/>
        <v>1323</v>
      </c>
      <c r="H16" s="65">
        <f t="shared" si="4"/>
        <v>1186</v>
      </c>
      <c r="I16" s="65">
        <f t="shared" si="4"/>
        <v>1408</v>
      </c>
      <c r="J16" s="65">
        <f t="shared" si="4"/>
        <v>1431</v>
      </c>
      <c r="K16" s="65">
        <f t="shared" si="4"/>
        <v>404</v>
      </c>
      <c r="L16" s="65">
        <f t="shared" si="4"/>
        <v>365</v>
      </c>
      <c r="M16" s="65">
        <f t="shared" si="4"/>
        <v>240</v>
      </c>
      <c r="N16" s="65">
        <f t="shared" si="4"/>
        <v>319</v>
      </c>
      <c r="O16" s="65">
        <f t="shared" si="4"/>
        <v>2</v>
      </c>
      <c r="P16" s="65">
        <f t="shared" si="4"/>
        <v>0</v>
      </c>
      <c r="Q16" s="65">
        <f t="shared" si="4"/>
        <v>321</v>
      </c>
      <c r="R16" s="65">
        <f t="shared" si="4"/>
        <v>357</v>
      </c>
      <c r="S16" s="65">
        <f t="shared" si="4"/>
        <v>229</v>
      </c>
      <c r="T16" s="65">
        <f t="shared" si="4"/>
        <v>1</v>
      </c>
      <c r="U16" s="65">
        <f t="shared" si="4"/>
        <v>1</v>
      </c>
      <c r="V16" s="65">
        <f t="shared" si="4"/>
        <v>157</v>
      </c>
      <c r="W16" s="65">
        <f t="shared" si="4"/>
        <v>460</v>
      </c>
      <c r="X16" s="65">
        <f t="shared" si="4"/>
        <v>1529</v>
      </c>
      <c r="Y16" s="65">
        <f t="shared" si="4"/>
        <v>1487</v>
      </c>
      <c r="Z16" s="65">
        <f t="shared" si="4"/>
        <v>1426</v>
      </c>
      <c r="AA16" s="65">
        <f t="shared" si="4"/>
        <v>560</v>
      </c>
      <c r="AB16" s="65">
        <f t="shared" si="4"/>
        <v>257</v>
      </c>
      <c r="AC16" s="65">
        <f t="shared" si="4"/>
        <v>292</v>
      </c>
      <c r="AD16" s="65">
        <f t="shared" si="4"/>
        <v>0</v>
      </c>
      <c r="AE16" s="65">
        <f t="shared" si="4"/>
        <v>235</v>
      </c>
      <c r="AF16" s="65">
        <f t="shared" si="4"/>
        <v>123</v>
      </c>
      <c r="AG16" s="65">
        <f t="shared" si="4"/>
        <v>422</v>
      </c>
      <c r="AH16" s="65">
        <f t="shared" si="4"/>
        <v>2</v>
      </c>
      <c r="AI16" s="65">
        <f t="shared" si="4"/>
        <v>473</v>
      </c>
      <c r="AJ16" s="65">
        <f t="shared" si="4"/>
        <v>1646</v>
      </c>
      <c r="AK16" s="65">
        <f t="shared" si="4"/>
        <v>1561</v>
      </c>
      <c r="AL16" s="65">
        <f t="shared" si="4"/>
        <v>1527</v>
      </c>
      <c r="AM16" s="65">
        <f t="shared" si="4"/>
        <v>1501</v>
      </c>
      <c r="AN16" s="65">
        <f t="shared" si="4"/>
        <v>1972</v>
      </c>
      <c r="AO16" s="65">
        <f t="shared" si="4"/>
        <v>1635</v>
      </c>
      <c r="AP16" s="65">
        <f t="shared" si="4"/>
        <v>1667</v>
      </c>
      <c r="AQ16" s="65">
        <f t="shared" si="4"/>
        <v>1792</v>
      </c>
    </row>
    <row r="17" ht="12.75" customHeight="1">
      <c r="A17" s="61">
        <v>6.0</v>
      </c>
      <c r="B17" s="62">
        <v>0.39791666666666664</v>
      </c>
      <c r="C17" s="58" t="s">
        <v>66</v>
      </c>
      <c r="D17" s="58">
        <v>669.0</v>
      </c>
      <c r="E17" s="58">
        <v>329.0</v>
      </c>
      <c r="F17" s="58">
        <v>326.0</v>
      </c>
      <c r="G17" s="58">
        <v>262.0</v>
      </c>
      <c r="H17" s="58">
        <v>270.0</v>
      </c>
      <c r="I17" s="58">
        <v>300.0</v>
      </c>
      <c r="J17" s="58">
        <v>302.0</v>
      </c>
      <c r="K17" s="58"/>
      <c r="L17" s="58"/>
      <c r="M17" s="58"/>
      <c r="N17" s="58"/>
      <c r="O17" s="58">
        <v>239.0</v>
      </c>
      <c r="P17" s="58">
        <v>406.0</v>
      </c>
      <c r="Q17" s="58"/>
      <c r="R17" s="58"/>
      <c r="S17" s="58"/>
      <c r="T17" s="58"/>
      <c r="U17" s="58"/>
      <c r="V17" s="58"/>
      <c r="W17" s="58"/>
      <c r="X17" s="58">
        <v>271.0</v>
      </c>
      <c r="Y17" s="58">
        <v>332.0</v>
      </c>
      <c r="Z17" s="58">
        <v>347.0</v>
      </c>
      <c r="AA17" s="58"/>
      <c r="AB17" s="58"/>
      <c r="AC17" s="58"/>
      <c r="AD17" s="58">
        <v>444.0</v>
      </c>
      <c r="AE17" s="58"/>
      <c r="AF17" s="58"/>
      <c r="AG17" s="58"/>
      <c r="AH17" s="58"/>
      <c r="AI17" s="58"/>
      <c r="AJ17" s="58">
        <v>330.0</v>
      </c>
      <c r="AK17" s="58">
        <v>312.0</v>
      </c>
      <c r="AL17" s="58">
        <v>312.0</v>
      </c>
      <c r="AM17" s="58">
        <v>295.0</v>
      </c>
      <c r="AN17" s="58">
        <v>389.0</v>
      </c>
      <c r="AO17" s="58">
        <v>313.0</v>
      </c>
      <c r="AP17" s="58">
        <v>319.0</v>
      </c>
      <c r="AQ17" s="58">
        <v>349.0</v>
      </c>
    </row>
    <row r="18" ht="12.75" customHeight="1">
      <c r="A18" s="63"/>
      <c r="B18" s="64"/>
      <c r="C18" s="65" t="s">
        <v>62</v>
      </c>
      <c r="D18" s="65">
        <f t="shared" ref="D18:AQ18" si="5">SUM(D16:D17)</f>
        <v>3823</v>
      </c>
      <c r="E18" s="65">
        <f t="shared" si="5"/>
        <v>1799</v>
      </c>
      <c r="F18" s="65">
        <f t="shared" si="5"/>
        <v>1946</v>
      </c>
      <c r="G18" s="65">
        <f t="shared" si="5"/>
        <v>1585</v>
      </c>
      <c r="H18" s="65">
        <f t="shared" si="5"/>
        <v>1456</v>
      </c>
      <c r="I18" s="65">
        <f t="shared" si="5"/>
        <v>1708</v>
      </c>
      <c r="J18" s="65">
        <f t="shared" si="5"/>
        <v>1733</v>
      </c>
      <c r="K18" s="65">
        <f t="shared" si="5"/>
        <v>404</v>
      </c>
      <c r="L18" s="65">
        <f t="shared" si="5"/>
        <v>365</v>
      </c>
      <c r="M18" s="65">
        <f t="shared" si="5"/>
        <v>240</v>
      </c>
      <c r="N18" s="65">
        <f t="shared" si="5"/>
        <v>319</v>
      </c>
      <c r="O18" s="65">
        <f t="shared" si="5"/>
        <v>241</v>
      </c>
      <c r="P18" s="65">
        <f t="shared" si="5"/>
        <v>406</v>
      </c>
      <c r="Q18" s="65">
        <f t="shared" si="5"/>
        <v>321</v>
      </c>
      <c r="R18" s="65">
        <f t="shared" si="5"/>
        <v>357</v>
      </c>
      <c r="S18" s="65">
        <f t="shared" si="5"/>
        <v>229</v>
      </c>
      <c r="T18" s="65">
        <f t="shared" si="5"/>
        <v>1</v>
      </c>
      <c r="U18" s="65">
        <f t="shared" si="5"/>
        <v>1</v>
      </c>
      <c r="V18" s="65">
        <f t="shared" si="5"/>
        <v>157</v>
      </c>
      <c r="W18" s="65">
        <f t="shared" si="5"/>
        <v>460</v>
      </c>
      <c r="X18" s="65">
        <f t="shared" si="5"/>
        <v>1800</v>
      </c>
      <c r="Y18" s="65">
        <f t="shared" si="5"/>
        <v>1819</v>
      </c>
      <c r="Z18" s="65">
        <f t="shared" si="5"/>
        <v>1773</v>
      </c>
      <c r="AA18" s="65">
        <f t="shared" si="5"/>
        <v>560</v>
      </c>
      <c r="AB18" s="65">
        <f t="shared" si="5"/>
        <v>257</v>
      </c>
      <c r="AC18" s="65">
        <f t="shared" si="5"/>
        <v>292</v>
      </c>
      <c r="AD18" s="65">
        <f t="shared" si="5"/>
        <v>444</v>
      </c>
      <c r="AE18" s="65">
        <f t="shared" si="5"/>
        <v>235</v>
      </c>
      <c r="AF18" s="65">
        <f t="shared" si="5"/>
        <v>123</v>
      </c>
      <c r="AG18" s="65">
        <f t="shared" si="5"/>
        <v>422</v>
      </c>
      <c r="AH18" s="65">
        <f t="shared" si="5"/>
        <v>2</v>
      </c>
      <c r="AI18" s="65">
        <f t="shared" si="5"/>
        <v>473</v>
      </c>
      <c r="AJ18" s="65">
        <f t="shared" si="5"/>
        <v>1976</v>
      </c>
      <c r="AK18" s="65">
        <f t="shared" si="5"/>
        <v>1873</v>
      </c>
      <c r="AL18" s="65">
        <f t="shared" si="5"/>
        <v>1839</v>
      </c>
      <c r="AM18" s="65">
        <f t="shared" si="5"/>
        <v>1796</v>
      </c>
      <c r="AN18" s="65">
        <f t="shared" si="5"/>
        <v>2361</v>
      </c>
      <c r="AO18" s="65">
        <f t="shared" si="5"/>
        <v>1948</v>
      </c>
      <c r="AP18" s="65">
        <f t="shared" si="5"/>
        <v>1986</v>
      </c>
      <c r="AQ18" s="65">
        <f t="shared" si="5"/>
        <v>2141</v>
      </c>
    </row>
    <row r="19" ht="12.75" customHeight="1">
      <c r="A19" s="61">
        <v>7.0</v>
      </c>
      <c r="B19" s="62">
        <v>0.39861111111111114</v>
      </c>
      <c r="C19" s="58" t="s">
        <v>67</v>
      </c>
      <c r="D19" s="58">
        <v>834.0</v>
      </c>
      <c r="E19" s="58">
        <v>383.0</v>
      </c>
      <c r="F19" s="58">
        <v>433.0</v>
      </c>
      <c r="G19" s="58">
        <v>406.0</v>
      </c>
      <c r="H19" s="58">
        <v>288.0</v>
      </c>
      <c r="I19" s="58">
        <v>404.0</v>
      </c>
      <c r="J19" s="58">
        <v>352.0</v>
      </c>
      <c r="K19" s="58"/>
      <c r="L19" s="58"/>
      <c r="M19" s="58"/>
      <c r="N19" s="58"/>
      <c r="O19" s="58"/>
      <c r="P19" s="58"/>
      <c r="Q19" s="58"/>
      <c r="R19" s="58">
        <v>430.0</v>
      </c>
      <c r="S19" s="58">
        <v>363.0</v>
      </c>
      <c r="T19" s="58"/>
      <c r="U19" s="58"/>
      <c r="V19" s="58"/>
      <c r="W19" s="58"/>
      <c r="X19" s="58">
        <v>427.0</v>
      </c>
      <c r="Y19" s="58">
        <v>437.0</v>
      </c>
      <c r="Z19" s="58">
        <v>321.0</v>
      </c>
      <c r="AA19" s="58"/>
      <c r="AB19" s="58"/>
      <c r="AC19" s="58"/>
      <c r="AD19" s="58"/>
      <c r="AE19" s="58"/>
      <c r="AF19" s="58"/>
      <c r="AG19" s="58">
        <v>588.0</v>
      </c>
      <c r="AH19" s="58"/>
      <c r="AI19" s="58"/>
      <c r="AJ19" s="58">
        <v>437.0</v>
      </c>
      <c r="AK19" s="58">
        <v>438.0</v>
      </c>
      <c r="AL19" s="58">
        <v>421.0</v>
      </c>
      <c r="AM19" s="58">
        <v>411.0</v>
      </c>
      <c r="AN19" s="58">
        <v>551.0</v>
      </c>
      <c r="AO19" s="58">
        <v>449.0</v>
      </c>
      <c r="AP19" s="58">
        <v>458.0</v>
      </c>
      <c r="AQ19" s="58">
        <v>499.0</v>
      </c>
    </row>
    <row r="20" ht="12.75" customHeight="1">
      <c r="A20" s="63"/>
      <c r="B20" s="64"/>
      <c r="C20" s="65" t="s">
        <v>62</v>
      </c>
      <c r="D20" s="65">
        <f t="shared" ref="D20:AQ20" si="6">SUM(D18:D19)</f>
        <v>4657</v>
      </c>
      <c r="E20" s="65">
        <f t="shared" si="6"/>
        <v>2182</v>
      </c>
      <c r="F20" s="65">
        <f t="shared" si="6"/>
        <v>2379</v>
      </c>
      <c r="G20" s="65">
        <f t="shared" si="6"/>
        <v>1991</v>
      </c>
      <c r="H20" s="65">
        <f t="shared" si="6"/>
        <v>1744</v>
      </c>
      <c r="I20" s="65">
        <f t="shared" si="6"/>
        <v>2112</v>
      </c>
      <c r="J20" s="65">
        <f t="shared" si="6"/>
        <v>2085</v>
      </c>
      <c r="K20" s="65">
        <f t="shared" si="6"/>
        <v>404</v>
      </c>
      <c r="L20" s="65">
        <f t="shared" si="6"/>
        <v>365</v>
      </c>
      <c r="M20" s="65">
        <f t="shared" si="6"/>
        <v>240</v>
      </c>
      <c r="N20" s="65">
        <f t="shared" si="6"/>
        <v>319</v>
      </c>
      <c r="O20" s="65">
        <f t="shared" si="6"/>
        <v>241</v>
      </c>
      <c r="P20" s="65">
        <f t="shared" si="6"/>
        <v>406</v>
      </c>
      <c r="Q20" s="65">
        <f t="shared" si="6"/>
        <v>321</v>
      </c>
      <c r="R20" s="65">
        <f t="shared" si="6"/>
        <v>787</v>
      </c>
      <c r="S20" s="65">
        <f t="shared" si="6"/>
        <v>592</v>
      </c>
      <c r="T20" s="65">
        <f t="shared" si="6"/>
        <v>1</v>
      </c>
      <c r="U20" s="65">
        <f t="shared" si="6"/>
        <v>1</v>
      </c>
      <c r="V20" s="65">
        <f t="shared" si="6"/>
        <v>157</v>
      </c>
      <c r="W20" s="65">
        <f t="shared" si="6"/>
        <v>460</v>
      </c>
      <c r="X20" s="65">
        <f t="shared" si="6"/>
        <v>2227</v>
      </c>
      <c r="Y20" s="65">
        <f t="shared" si="6"/>
        <v>2256</v>
      </c>
      <c r="Z20" s="65">
        <f t="shared" si="6"/>
        <v>2094</v>
      </c>
      <c r="AA20" s="65">
        <f t="shared" si="6"/>
        <v>560</v>
      </c>
      <c r="AB20" s="65">
        <f t="shared" si="6"/>
        <v>257</v>
      </c>
      <c r="AC20" s="65">
        <f t="shared" si="6"/>
        <v>292</v>
      </c>
      <c r="AD20" s="65">
        <f t="shared" si="6"/>
        <v>444</v>
      </c>
      <c r="AE20" s="65">
        <f t="shared" si="6"/>
        <v>235</v>
      </c>
      <c r="AF20" s="65">
        <f t="shared" si="6"/>
        <v>123</v>
      </c>
      <c r="AG20" s="65">
        <f t="shared" si="6"/>
        <v>1010</v>
      </c>
      <c r="AH20" s="65">
        <f t="shared" si="6"/>
        <v>2</v>
      </c>
      <c r="AI20" s="65">
        <f t="shared" si="6"/>
        <v>473</v>
      </c>
      <c r="AJ20" s="65">
        <f t="shared" si="6"/>
        <v>2413</v>
      </c>
      <c r="AK20" s="65">
        <f t="shared" si="6"/>
        <v>2311</v>
      </c>
      <c r="AL20" s="65">
        <f t="shared" si="6"/>
        <v>2260</v>
      </c>
      <c r="AM20" s="65">
        <f t="shared" si="6"/>
        <v>2207</v>
      </c>
      <c r="AN20" s="65">
        <f t="shared" si="6"/>
        <v>2912</v>
      </c>
      <c r="AO20" s="65">
        <f t="shared" si="6"/>
        <v>2397</v>
      </c>
      <c r="AP20" s="65">
        <f t="shared" si="6"/>
        <v>2444</v>
      </c>
      <c r="AQ20" s="65">
        <f t="shared" si="6"/>
        <v>2640</v>
      </c>
    </row>
    <row r="21" ht="12.75" customHeight="1">
      <c r="A21" s="61">
        <v>8.0</v>
      </c>
      <c r="B21" s="62">
        <v>0.4013888888888889</v>
      </c>
      <c r="C21" s="58" t="s">
        <v>68</v>
      </c>
      <c r="D21" s="58">
        <v>690.0</v>
      </c>
      <c r="E21" s="58">
        <v>327.0</v>
      </c>
      <c r="F21" s="58">
        <v>347.0</v>
      </c>
      <c r="G21" s="58">
        <v>309.0</v>
      </c>
      <c r="H21" s="58">
        <v>257.0</v>
      </c>
      <c r="I21" s="58">
        <v>318.0</v>
      </c>
      <c r="J21" s="58">
        <v>307.0</v>
      </c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>
        <v>162.0</v>
      </c>
      <c r="W21" s="58">
        <v>464.0</v>
      </c>
      <c r="X21" s="58">
        <v>338.0</v>
      </c>
      <c r="Y21" s="58">
        <v>350.0</v>
      </c>
      <c r="Z21" s="58">
        <v>328.0</v>
      </c>
      <c r="AA21" s="58"/>
      <c r="AB21" s="58"/>
      <c r="AC21" s="58"/>
      <c r="AD21" s="58"/>
      <c r="AE21" s="58"/>
      <c r="AF21" s="58"/>
      <c r="AG21" s="58"/>
      <c r="AH21" s="58"/>
      <c r="AI21" s="58">
        <v>479.0</v>
      </c>
      <c r="AJ21" s="58">
        <v>370.0</v>
      </c>
      <c r="AK21" s="58">
        <v>346.0</v>
      </c>
      <c r="AL21" s="58">
        <v>338.0</v>
      </c>
      <c r="AM21" s="58">
        <v>344.0</v>
      </c>
      <c r="AN21" s="58">
        <v>463.0</v>
      </c>
      <c r="AO21" s="58">
        <v>379.0</v>
      </c>
      <c r="AP21" s="58">
        <v>393.0</v>
      </c>
      <c r="AQ21" s="58">
        <v>410.0</v>
      </c>
    </row>
    <row r="22" ht="12.75" customHeight="1">
      <c r="A22" s="63"/>
      <c r="B22" s="64"/>
      <c r="C22" s="65" t="s">
        <v>62</v>
      </c>
      <c r="D22" s="65">
        <f t="shared" ref="D22:AQ22" si="7">SUM(D20:D21)</f>
        <v>5347</v>
      </c>
      <c r="E22" s="65">
        <f t="shared" si="7"/>
        <v>2509</v>
      </c>
      <c r="F22" s="65">
        <f t="shared" si="7"/>
        <v>2726</v>
      </c>
      <c r="G22" s="65">
        <f t="shared" si="7"/>
        <v>2300</v>
      </c>
      <c r="H22" s="65">
        <f t="shared" si="7"/>
        <v>2001</v>
      </c>
      <c r="I22" s="65">
        <f t="shared" si="7"/>
        <v>2430</v>
      </c>
      <c r="J22" s="65">
        <f t="shared" si="7"/>
        <v>2392</v>
      </c>
      <c r="K22" s="65">
        <f t="shared" si="7"/>
        <v>404</v>
      </c>
      <c r="L22" s="65">
        <f t="shared" si="7"/>
        <v>365</v>
      </c>
      <c r="M22" s="65">
        <f t="shared" si="7"/>
        <v>240</v>
      </c>
      <c r="N22" s="65">
        <f t="shared" si="7"/>
        <v>319</v>
      </c>
      <c r="O22" s="65">
        <f t="shared" si="7"/>
        <v>241</v>
      </c>
      <c r="P22" s="65">
        <f t="shared" si="7"/>
        <v>406</v>
      </c>
      <c r="Q22" s="65">
        <f t="shared" si="7"/>
        <v>321</v>
      </c>
      <c r="R22" s="65">
        <f t="shared" si="7"/>
        <v>787</v>
      </c>
      <c r="S22" s="65">
        <f t="shared" si="7"/>
        <v>592</v>
      </c>
      <c r="T22" s="65">
        <f t="shared" si="7"/>
        <v>1</v>
      </c>
      <c r="U22" s="65">
        <f t="shared" si="7"/>
        <v>1</v>
      </c>
      <c r="V22" s="65">
        <f t="shared" si="7"/>
        <v>319</v>
      </c>
      <c r="W22" s="65">
        <f t="shared" si="7"/>
        <v>924</v>
      </c>
      <c r="X22" s="65">
        <f t="shared" si="7"/>
        <v>2565</v>
      </c>
      <c r="Y22" s="65">
        <f t="shared" si="7"/>
        <v>2606</v>
      </c>
      <c r="Z22" s="65">
        <f t="shared" si="7"/>
        <v>2422</v>
      </c>
      <c r="AA22" s="65">
        <f t="shared" si="7"/>
        <v>560</v>
      </c>
      <c r="AB22" s="65">
        <f t="shared" si="7"/>
        <v>257</v>
      </c>
      <c r="AC22" s="65">
        <f t="shared" si="7"/>
        <v>292</v>
      </c>
      <c r="AD22" s="65">
        <f t="shared" si="7"/>
        <v>444</v>
      </c>
      <c r="AE22" s="65">
        <f t="shared" si="7"/>
        <v>235</v>
      </c>
      <c r="AF22" s="65">
        <f t="shared" si="7"/>
        <v>123</v>
      </c>
      <c r="AG22" s="65">
        <f t="shared" si="7"/>
        <v>1010</v>
      </c>
      <c r="AH22" s="65">
        <f t="shared" si="7"/>
        <v>2</v>
      </c>
      <c r="AI22" s="65">
        <f t="shared" si="7"/>
        <v>952</v>
      </c>
      <c r="AJ22" s="65">
        <f t="shared" si="7"/>
        <v>2783</v>
      </c>
      <c r="AK22" s="65">
        <f t="shared" si="7"/>
        <v>2657</v>
      </c>
      <c r="AL22" s="65">
        <f t="shared" si="7"/>
        <v>2598</v>
      </c>
      <c r="AM22" s="65">
        <f t="shared" si="7"/>
        <v>2551</v>
      </c>
      <c r="AN22" s="65">
        <f t="shared" si="7"/>
        <v>3375</v>
      </c>
      <c r="AO22" s="65">
        <f t="shared" si="7"/>
        <v>2776</v>
      </c>
      <c r="AP22" s="65">
        <f t="shared" si="7"/>
        <v>2837</v>
      </c>
      <c r="AQ22" s="65">
        <f t="shared" si="7"/>
        <v>3050</v>
      </c>
    </row>
    <row r="23" ht="12.75" customHeight="1">
      <c r="A23" s="61">
        <v>9.0</v>
      </c>
      <c r="B23" s="62">
        <v>0.40208333333333335</v>
      </c>
      <c r="C23" s="58" t="s">
        <v>69</v>
      </c>
      <c r="D23" s="58">
        <v>871.0</v>
      </c>
      <c r="E23" s="58">
        <v>467.0</v>
      </c>
      <c r="F23" s="58">
        <v>388.0</v>
      </c>
      <c r="G23" s="58">
        <v>337.0</v>
      </c>
      <c r="H23" s="58">
        <v>301.0</v>
      </c>
      <c r="I23" s="58">
        <v>357.0</v>
      </c>
      <c r="J23" s="58">
        <v>428.0</v>
      </c>
      <c r="K23" s="58"/>
      <c r="L23" s="58"/>
      <c r="M23" s="58"/>
      <c r="N23" s="58"/>
      <c r="O23" s="58"/>
      <c r="P23" s="58"/>
      <c r="Q23" s="58"/>
      <c r="R23" s="58"/>
      <c r="S23" s="58"/>
      <c r="T23" s="58">
        <v>416.0</v>
      </c>
      <c r="U23" s="58">
        <v>433.0</v>
      </c>
      <c r="V23" s="58"/>
      <c r="W23" s="58"/>
      <c r="X23" s="58">
        <v>399.0</v>
      </c>
      <c r="Y23" s="58">
        <v>426.0</v>
      </c>
      <c r="Z23" s="58">
        <v>371.0</v>
      </c>
      <c r="AA23" s="58"/>
      <c r="AB23" s="58"/>
      <c r="AC23" s="58"/>
      <c r="AD23" s="58"/>
      <c r="AE23" s="58"/>
      <c r="AF23" s="58"/>
      <c r="AG23" s="58"/>
      <c r="AH23" s="58">
        <v>654.0</v>
      </c>
      <c r="AI23" s="58"/>
      <c r="AJ23" s="58">
        <v>491.0</v>
      </c>
      <c r="AK23" s="58">
        <v>463.0</v>
      </c>
      <c r="AL23" s="58">
        <v>440.0</v>
      </c>
      <c r="AM23" s="58">
        <v>459.0</v>
      </c>
      <c r="AN23" s="58">
        <v>607.0</v>
      </c>
      <c r="AO23" s="58">
        <v>483.0</v>
      </c>
      <c r="AP23" s="58">
        <v>517.0</v>
      </c>
      <c r="AQ23" s="58">
        <v>525.0</v>
      </c>
    </row>
    <row r="24" ht="12.75" customHeight="1">
      <c r="A24" s="63"/>
      <c r="B24" s="64"/>
      <c r="C24" s="66" t="s">
        <v>62</v>
      </c>
      <c r="D24" s="65">
        <f t="shared" ref="D24:AQ24" si="8">SUM(D22:D23)</f>
        <v>6218</v>
      </c>
      <c r="E24" s="65">
        <f t="shared" si="8"/>
        <v>2976</v>
      </c>
      <c r="F24" s="65">
        <f t="shared" si="8"/>
        <v>3114</v>
      </c>
      <c r="G24" s="65">
        <f t="shared" si="8"/>
        <v>2637</v>
      </c>
      <c r="H24" s="65">
        <f t="shared" si="8"/>
        <v>2302</v>
      </c>
      <c r="I24" s="65">
        <f t="shared" si="8"/>
        <v>2787</v>
      </c>
      <c r="J24" s="65">
        <f t="shared" si="8"/>
        <v>2820</v>
      </c>
      <c r="K24" s="65">
        <f t="shared" si="8"/>
        <v>404</v>
      </c>
      <c r="L24" s="65">
        <f t="shared" si="8"/>
        <v>365</v>
      </c>
      <c r="M24" s="65">
        <f t="shared" si="8"/>
        <v>240</v>
      </c>
      <c r="N24" s="65">
        <f t="shared" si="8"/>
        <v>319</v>
      </c>
      <c r="O24" s="65">
        <f t="shared" si="8"/>
        <v>241</v>
      </c>
      <c r="P24" s="65">
        <f t="shared" si="8"/>
        <v>406</v>
      </c>
      <c r="Q24" s="65">
        <f t="shared" si="8"/>
        <v>321</v>
      </c>
      <c r="R24" s="65">
        <f t="shared" si="8"/>
        <v>787</v>
      </c>
      <c r="S24" s="65">
        <f t="shared" si="8"/>
        <v>592</v>
      </c>
      <c r="T24" s="65">
        <f t="shared" si="8"/>
        <v>417</v>
      </c>
      <c r="U24" s="65">
        <f t="shared" si="8"/>
        <v>434</v>
      </c>
      <c r="V24" s="65">
        <f t="shared" si="8"/>
        <v>319</v>
      </c>
      <c r="W24" s="65">
        <f t="shared" si="8"/>
        <v>924</v>
      </c>
      <c r="X24" s="65">
        <f t="shared" si="8"/>
        <v>2964</v>
      </c>
      <c r="Y24" s="65">
        <f t="shared" si="8"/>
        <v>3032</v>
      </c>
      <c r="Z24" s="65">
        <f t="shared" si="8"/>
        <v>2793</v>
      </c>
      <c r="AA24" s="65">
        <f t="shared" si="8"/>
        <v>560</v>
      </c>
      <c r="AB24" s="65">
        <f t="shared" si="8"/>
        <v>257</v>
      </c>
      <c r="AC24" s="65">
        <f t="shared" si="8"/>
        <v>292</v>
      </c>
      <c r="AD24" s="65">
        <f t="shared" si="8"/>
        <v>444</v>
      </c>
      <c r="AE24" s="65">
        <f t="shared" si="8"/>
        <v>235</v>
      </c>
      <c r="AF24" s="65">
        <f t="shared" si="8"/>
        <v>123</v>
      </c>
      <c r="AG24" s="65">
        <f t="shared" si="8"/>
        <v>1010</v>
      </c>
      <c r="AH24" s="65">
        <f t="shared" si="8"/>
        <v>656</v>
      </c>
      <c r="AI24" s="65">
        <f t="shared" si="8"/>
        <v>952</v>
      </c>
      <c r="AJ24" s="65">
        <f t="shared" si="8"/>
        <v>3274</v>
      </c>
      <c r="AK24" s="65">
        <f t="shared" si="8"/>
        <v>3120</v>
      </c>
      <c r="AL24" s="65">
        <f t="shared" si="8"/>
        <v>3038</v>
      </c>
      <c r="AM24" s="65">
        <f t="shared" si="8"/>
        <v>3010</v>
      </c>
      <c r="AN24" s="65">
        <f t="shared" si="8"/>
        <v>3982</v>
      </c>
      <c r="AO24" s="65">
        <f t="shared" si="8"/>
        <v>3259</v>
      </c>
      <c r="AP24" s="65">
        <f t="shared" si="8"/>
        <v>3354</v>
      </c>
      <c r="AQ24" s="65">
        <f t="shared" si="8"/>
        <v>3575</v>
      </c>
    </row>
    <row r="25" ht="12.75" customHeight="1">
      <c r="A25" s="61">
        <v>10.0</v>
      </c>
      <c r="B25" s="62">
        <v>0.4027777777777778</v>
      </c>
      <c r="C25" s="58" t="s">
        <v>70</v>
      </c>
      <c r="D25" s="58">
        <v>791.0</v>
      </c>
      <c r="E25" s="58">
        <v>486.0</v>
      </c>
      <c r="F25" s="58">
        <v>279.0</v>
      </c>
      <c r="G25" s="58">
        <v>308.0</v>
      </c>
      <c r="H25" s="58">
        <v>304.0</v>
      </c>
      <c r="I25" s="58">
        <v>250.0</v>
      </c>
      <c r="J25" s="58">
        <v>396.0</v>
      </c>
      <c r="K25" s="58"/>
      <c r="L25" s="58"/>
      <c r="M25" s="58"/>
      <c r="N25" s="58"/>
      <c r="O25" s="58"/>
      <c r="P25" s="58"/>
      <c r="Q25" s="58"/>
      <c r="R25" s="58"/>
      <c r="S25" s="58"/>
      <c r="T25" s="58">
        <v>305.0</v>
      </c>
      <c r="U25" s="58">
        <v>455.0</v>
      </c>
      <c r="V25" s="58"/>
      <c r="W25" s="58"/>
      <c r="X25" s="58">
        <v>333.0</v>
      </c>
      <c r="Y25" s="58">
        <v>402.0</v>
      </c>
      <c r="Z25" s="58">
        <v>362.0</v>
      </c>
      <c r="AA25" s="58"/>
      <c r="AB25" s="58"/>
      <c r="AC25" s="58"/>
      <c r="AD25" s="58"/>
      <c r="AE25" s="58"/>
      <c r="AF25" s="58"/>
      <c r="AG25" s="58"/>
      <c r="AH25" s="58">
        <v>569.0</v>
      </c>
      <c r="AI25" s="58"/>
      <c r="AJ25" s="58">
        <v>406.0</v>
      </c>
      <c r="AK25" s="58">
        <v>369.0</v>
      </c>
      <c r="AL25" s="58">
        <v>336.0</v>
      </c>
      <c r="AM25" s="58">
        <v>365.0</v>
      </c>
      <c r="AN25" s="58">
        <v>541.0</v>
      </c>
      <c r="AO25" s="58">
        <v>403.0</v>
      </c>
      <c r="AP25" s="58">
        <v>435.0</v>
      </c>
      <c r="AQ25" s="58">
        <v>429.0</v>
      </c>
    </row>
    <row r="26" ht="12.75" customHeight="1">
      <c r="A26" s="63"/>
      <c r="B26" s="64"/>
      <c r="C26" s="65" t="s">
        <v>62</v>
      </c>
      <c r="D26" s="65">
        <f t="shared" ref="D26:AQ26" si="9">SUM(D24:D25)</f>
        <v>7009</v>
      </c>
      <c r="E26" s="65">
        <f t="shared" si="9"/>
        <v>3462</v>
      </c>
      <c r="F26" s="65">
        <f t="shared" si="9"/>
        <v>3393</v>
      </c>
      <c r="G26" s="65">
        <f t="shared" si="9"/>
        <v>2945</v>
      </c>
      <c r="H26" s="65">
        <f t="shared" si="9"/>
        <v>2606</v>
      </c>
      <c r="I26" s="65">
        <f t="shared" si="9"/>
        <v>3037</v>
      </c>
      <c r="J26" s="65">
        <f t="shared" si="9"/>
        <v>3216</v>
      </c>
      <c r="K26" s="65">
        <f t="shared" si="9"/>
        <v>404</v>
      </c>
      <c r="L26" s="65">
        <f t="shared" si="9"/>
        <v>365</v>
      </c>
      <c r="M26" s="65">
        <f t="shared" si="9"/>
        <v>240</v>
      </c>
      <c r="N26" s="65">
        <f t="shared" si="9"/>
        <v>319</v>
      </c>
      <c r="O26" s="65">
        <f t="shared" si="9"/>
        <v>241</v>
      </c>
      <c r="P26" s="65">
        <f t="shared" si="9"/>
        <v>406</v>
      </c>
      <c r="Q26" s="65">
        <f t="shared" si="9"/>
        <v>321</v>
      </c>
      <c r="R26" s="65">
        <f t="shared" si="9"/>
        <v>787</v>
      </c>
      <c r="S26" s="65">
        <f t="shared" si="9"/>
        <v>592</v>
      </c>
      <c r="T26" s="65">
        <f t="shared" si="9"/>
        <v>722</v>
      </c>
      <c r="U26" s="65">
        <f t="shared" si="9"/>
        <v>889</v>
      </c>
      <c r="V26" s="65">
        <f t="shared" si="9"/>
        <v>319</v>
      </c>
      <c r="W26" s="65">
        <f t="shared" si="9"/>
        <v>924</v>
      </c>
      <c r="X26" s="65">
        <f t="shared" si="9"/>
        <v>3297</v>
      </c>
      <c r="Y26" s="65">
        <f t="shared" si="9"/>
        <v>3434</v>
      </c>
      <c r="Z26" s="65">
        <f t="shared" si="9"/>
        <v>3155</v>
      </c>
      <c r="AA26" s="65">
        <f t="shared" si="9"/>
        <v>560</v>
      </c>
      <c r="AB26" s="65">
        <f t="shared" si="9"/>
        <v>257</v>
      </c>
      <c r="AC26" s="65">
        <f t="shared" si="9"/>
        <v>292</v>
      </c>
      <c r="AD26" s="65">
        <f t="shared" si="9"/>
        <v>444</v>
      </c>
      <c r="AE26" s="65">
        <f t="shared" si="9"/>
        <v>235</v>
      </c>
      <c r="AF26" s="65">
        <f t="shared" si="9"/>
        <v>123</v>
      </c>
      <c r="AG26" s="65">
        <f t="shared" si="9"/>
        <v>1010</v>
      </c>
      <c r="AH26" s="65">
        <f t="shared" si="9"/>
        <v>1225</v>
      </c>
      <c r="AI26" s="65">
        <f t="shared" si="9"/>
        <v>952</v>
      </c>
      <c r="AJ26" s="65">
        <f t="shared" si="9"/>
        <v>3680</v>
      </c>
      <c r="AK26" s="65">
        <f t="shared" si="9"/>
        <v>3489</v>
      </c>
      <c r="AL26" s="65">
        <f t="shared" si="9"/>
        <v>3374</v>
      </c>
      <c r="AM26" s="65">
        <f t="shared" si="9"/>
        <v>3375</v>
      </c>
      <c r="AN26" s="65">
        <f t="shared" si="9"/>
        <v>4523</v>
      </c>
      <c r="AO26" s="65">
        <f t="shared" si="9"/>
        <v>3662</v>
      </c>
      <c r="AP26" s="65">
        <f t="shared" si="9"/>
        <v>3789</v>
      </c>
      <c r="AQ26" s="65">
        <f t="shared" si="9"/>
        <v>4004</v>
      </c>
    </row>
    <row r="27" ht="12.75" customHeight="1">
      <c r="A27" s="61">
        <v>11.0</v>
      </c>
      <c r="B27" s="62">
        <v>0.40347222222222223</v>
      </c>
      <c r="C27" s="58" t="s">
        <v>71</v>
      </c>
      <c r="D27" s="58">
        <v>636.0</v>
      </c>
      <c r="E27" s="58">
        <v>322.0</v>
      </c>
      <c r="F27" s="58">
        <v>294.0</v>
      </c>
      <c r="G27" s="58">
        <v>258.0</v>
      </c>
      <c r="H27" s="58">
        <v>252.0</v>
      </c>
      <c r="I27" s="58">
        <v>289.0</v>
      </c>
      <c r="J27" s="58">
        <v>268.0</v>
      </c>
      <c r="K27" s="58"/>
      <c r="L27" s="58"/>
      <c r="M27" s="58"/>
      <c r="N27" s="58"/>
      <c r="O27" s="58">
        <v>267.0</v>
      </c>
      <c r="P27" s="58">
        <v>342.0</v>
      </c>
      <c r="Q27" s="58"/>
      <c r="R27" s="58"/>
      <c r="S27" s="58"/>
      <c r="T27" s="58"/>
      <c r="U27" s="58"/>
      <c r="V27" s="58"/>
      <c r="W27" s="58"/>
      <c r="X27" s="58">
        <v>242.0</v>
      </c>
      <c r="Y27" s="58">
        <v>286.0</v>
      </c>
      <c r="Z27" s="58">
        <v>303.0</v>
      </c>
      <c r="AA27" s="58"/>
      <c r="AB27" s="58"/>
      <c r="AC27" s="58"/>
      <c r="AD27" s="58">
        <v>431.0</v>
      </c>
      <c r="AE27" s="58"/>
      <c r="AF27" s="58"/>
      <c r="AG27" s="58"/>
      <c r="AH27" s="58"/>
      <c r="AI27" s="58"/>
      <c r="AJ27" s="58">
        <v>302.0</v>
      </c>
      <c r="AK27" s="58">
        <v>284.0</v>
      </c>
      <c r="AL27" s="58">
        <v>284.0</v>
      </c>
      <c r="AM27" s="58">
        <v>271.0</v>
      </c>
      <c r="AN27" s="58">
        <v>371.0</v>
      </c>
      <c r="AO27" s="58">
        <v>289.0</v>
      </c>
      <c r="AP27" s="58">
        <v>309.0</v>
      </c>
      <c r="AQ27" s="58">
        <v>313.0</v>
      </c>
    </row>
    <row r="28" ht="12.75" customHeight="1">
      <c r="A28" s="63"/>
      <c r="B28" s="64"/>
      <c r="C28" s="65" t="s">
        <v>62</v>
      </c>
      <c r="D28" s="65">
        <f t="shared" ref="D28:AQ28" si="10">SUM(D26:D27)</f>
        <v>7645</v>
      </c>
      <c r="E28" s="65">
        <f t="shared" si="10"/>
        <v>3784</v>
      </c>
      <c r="F28" s="65">
        <f t="shared" si="10"/>
        <v>3687</v>
      </c>
      <c r="G28" s="65">
        <f t="shared" si="10"/>
        <v>3203</v>
      </c>
      <c r="H28" s="65">
        <f t="shared" si="10"/>
        <v>2858</v>
      </c>
      <c r="I28" s="65">
        <f t="shared" si="10"/>
        <v>3326</v>
      </c>
      <c r="J28" s="65">
        <f t="shared" si="10"/>
        <v>3484</v>
      </c>
      <c r="K28" s="65">
        <f t="shared" si="10"/>
        <v>404</v>
      </c>
      <c r="L28" s="65">
        <f t="shared" si="10"/>
        <v>365</v>
      </c>
      <c r="M28" s="65">
        <f t="shared" si="10"/>
        <v>240</v>
      </c>
      <c r="N28" s="65">
        <f t="shared" si="10"/>
        <v>319</v>
      </c>
      <c r="O28" s="65">
        <f t="shared" si="10"/>
        <v>508</v>
      </c>
      <c r="P28" s="65">
        <f t="shared" si="10"/>
        <v>748</v>
      </c>
      <c r="Q28" s="65">
        <f t="shared" si="10"/>
        <v>321</v>
      </c>
      <c r="R28" s="65">
        <f t="shared" si="10"/>
        <v>787</v>
      </c>
      <c r="S28" s="65">
        <f t="shared" si="10"/>
        <v>592</v>
      </c>
      <c r="T28" s="65">
        <f t="shared" si="10"/>
        <v>722</v>
      </c>
      <c r="U28" s="65">
        <f t="shared" si="10"/>
        <v>889</v>
      </c>
      <c r="V28" s="65">
        <f t="shared" si="10"/>
        <v>319</v>
      </c>
      <c r="W28" s="65">
        <f t="shared" si="10"/>
        <v>924</v>
      </c>
      <c r="X28" s="65">
        <f t="shared" si="10"/>
        <v>3539</v>
      </c>
      <c r="Y28" s="65">
        <f t="shared" si="10"/>
        <v>3720</v>
      </c>
      <c r="Z28" s="65">
        <f t="shared" si="10"/>
        <v>3458</v>
      </c>
      <c r="AA28" s="65">
        <f t="shared" si="10"/>
        <v>560</v>
      </c>
      <c r="AB28" s="65">
        <f t="shared" si="10"/>
        <v>257</v>
      </c>
      <c r="AC28" s="65">
        <f t="shared" si="10"/>
        <v>292</v>
      </c>
      <c r="AD28" s="65">
        <f t="shared" si="10"/>
        <v>875</v>
      </c>
      <c r="AE28" s="65">
        <f t="shared" si="10"/>
        <v>235</v>
      </c>
      <c r="AF28" s="65">
        <f t="shared" si="10"/>
        <v>123</v>
      </c>
      <c r="AG28" s="65">
        <f t="shared" si="10"/>
        <v>1010</v>
      </c>
      <c r="AH28" s="65">
        <f t="shared" si="10"/>
        <v>1225</v>
      </c>
      <c r="AI28" s="65">
        <f t="shared" si="10"/>
        <v>952</v>
      </c>
      <c r="AJ28" s="65">
        <f t="shared" si="10"/>
        <v>3982</v>
      </c>
      <c r="AK28" s="65">
        <f t="shared" si="10"/>
        <v>3773</v>
      </c>
      <c r="AL28" s="65">
        <f t="shared" si="10"/>
        <v>3658</v>
      </c>
      <c r="AM28" s="65">
        <f t="shared" si="10"/>
        <v>3646</v>
      </c>
      <c r="AN28" s="65">
        <f t="shared" si="10"/>
        <v>4894</v>
      </c>
      <c r="AO28" s="65">
        <f t="shared" si="10"/>
        <v>3951</v>
      </c>
      <c r="AP28" s="65">
        <f t="shared" si="10"/>
        <v>4098</v>
      </c>
      <c r="AQ28" s="65">
        <f t="shared" si="10"/>
        <v>4317</v>
      </c>
    </row>
    <row r="29" ht="12.75" customHeight="1">
      <c r="A29" s="61">
        <v>12.0</v>
      </c>
      <c r="B29" s="62">
        <v>0.40625</v>
      </c>
      <c r="C29" s="58" t="s">
        <v>72</v>
      </c>
      <c r="D29" s="58">
        <v>479.0</v>
      </c>
      <c r="E29" s="58">
        <v>215.0</v>
      </c>
      <c r="F29" s="58">
        <v>258.0</v>
      </c>
      <c r="G29" s="58">
        <v>221.0</v>
      </c>
      <c r="H29" s="58">
        <v>185.0</v>
      </c>
      <c r="I29" s="58">
        <v>216.0</v>
      </c>
      <c r="J29" s="58">
        <v>212.0</v>
      </c>
      <c r="K29" s="58"/>
      <c r="L29" s="58"/>
      <c r="M29" s="58">
        <v>238.0</v>
      </c>
      <c r="N29" s="58">
        <v>224.0</v>
      </c>
      <c r="O29" s="58"/>
      <c r="P29" s="58"/>
      <c r="Q29" s="58"/>
      <c r="R29" s="58"/>
      <c r="S29" s="58"/>
      <c r="T29" s="58"/>
      <c r="U29" s="58"/>
      <c r="V29" s="58"/>
      <c r="W29" s="58"/>
      <c r="X29" s="58">
        <v>222.0</v>
      </c>
      <c r="Y29" s="58">
        <v>225.0</v>
      </c>
      <c r="Z29" s="58">
        <v>208.0</v>
      </c>
      <c r="AA29" s="58"/>
      <c r="AB29" s="58">
        <v>207.0</v>
      </c>
      <c r="AC29" s="58">
        <v>240.0</v>
      </c>
      <c r="AD29" s="58"/>
      <c r="AE29" s="58"/>
      <c r="AF29" s="58"/>
      <c r="AG29" s="58"/>
      <c r="AH29" s="58"/>
      <c r="AI29" s="58"/>
      <c r="AJ29" s="58">
        <v>268.0</v>
      </c>
      <c r="AK29" s="58">
        <v>256.0</v>
      </c>
      <c r="AL29" s="58">
        <v>249.0</v>
      </c>
      <c r="AM29" s="58">
        <v>247.0</v>
      </c>
      <c r="AN29" s="58">
        <v>308.0</v>
      </c>
      <c r="AO29" s="58">
        <v>260.0</v>
      </c>
      <c r="AP29" s="58">
        <v>254.0</v>
      </c>
      <c r="AQ29" s="58">
        <v>294.0</v>
      </c>
    </row>
    <row r="30" ht="12.75" customHeight="1">
      <c r="A30" s="63"/>
      <c r="B30" s="64"/>
      <c r="C30" s="65" t="s">
        <v>62</v>
      </c>
      <c r="D30" s="65">
        <f t="shared" ref="D30:AQ30" si="11">SUM(D28:D29)</f>
        <v>8124</v>
      </c>
      <c r="E30" s="65">
        <f t="shared" si="11"/>
        <v>3999</v>
      </c>
      <c r="F30" s="65">
        <f t="shared" si="11"/>
        <v>3945</v>
      </c>
      <c r="G30" s="65">
        <f t="shared" si="11"/>
        <v>3424</v>
      </c>
      <c r="H30" s="65">
        <f t="shared" si="11"/>
        <v>3043</v>
      </c>
      <c r="I30" s="65">
        <f t="shared" si="11"/>
        <v>3542</v>
      </c>
      <c r="J30" s="65">
        <f t="shared" si="11"/>
        <v>3696</v>
      </c>
      <c r="K30" s="65">
        <f t="shared" si="11"/>
        <v>404</v>
      </c>
      <c r="L30" s="65">
        <f t="shared" si="11"/>
        <v>365</v>
      </c>
      <c r="M30" s="65">
        <f t="shared" si="11"/>
        <v>478</v>
      </c>
      <c r="N30" s="65">
        <f t="shared" si="11"/>
        <v>543</v>
      </c>
      <c r="O30" s="65">
        <f t="shared" si="11"/>
        <v>508</v>
      </c>
      <c r="P30" s="65">
        <f t="shared" si="11"/>
        <v>748</v>
      </c>
      <c r="Q30" s="65">
        <f t="shared" si="11"/>
        <v>321</v>
      </c>
      <c r="R30" s="65">
        <f t="shared" si="11"/>
        <v>787</v>
      </c>
      <c r="S30" s="65">
        <f t="shared" si="11"/>
        <v>592</v>
      </c>
      <c r="T30" s="65">
        <f t="shared" si="11"/>
        <v>722</v>
      </c>
      <c r="U30" s="65">
        <f t="shared" si="11"/>
        <v>889</v>
      </c>
      <c r="V30" s="65">
        <f t="shared" si="11"/>
        <v>319</v>
      </c>
      <c r="W30" s="65">
        <f t="shared" si="11"/>
        <v>924</v>
      </c>
      <c r="X30" s="65">
        <f t="shared" si="11"/>
        <v>3761</v>
      </c>
      <c r="Y30" s="65">
        <f t="shared" si="11"/>
        <v>3945</v>
      </c>
      <c r="Z30" s="65">
        <f t="shared" si="11"/>
        <v>3666</v>
      </c>
      <c r="AA30" s="65">
        <f t="shared" si="11"/>
        <v>560</v>
      </c>
      <c r="AB30" s="65">
        <f t="shared" si="11"/>
        <v>464</v>
      </c>
      <c r="AC30" s="65">
        <f t="shared" si="11"/>
        <v>532</v>
      </c>
      <c r="AD30" s="65">
        <f t="shared" si="11"/>
        <v>875</v>
      </c>
      <c r="AE30" s="65">
        <f t="shared" si="11"/>
        <v>235</v>
      </c>
      <c r="AF30" s="65">
        <f t="shared" si="11"/>
        <v>123</v>
      </c>
      <c r="AG30" s="65">
        <f t="shared" si="11"/>
        <v>1010</v>
      </c>
      <c r="AH30" s="65">
        <f t="shared" si="11"/>
        <v>1225</v>
      </c>
      <c r="AI30" s="65">
        <f t="shared" si="11"/>
        <v>952</v>
      </c>
      <c r="AJ30" s="65">
        <f t="shared" si="11"/>
        <v>4250</v>
      </c>
      <c r="AK30" s="65">
        <f t="shared" si="11"/>
        <v>4029</v>
      </c>
      <c r="AL30" s="65">
        <f t="shared" si="11"/>
        <v>3907</v>
      </c>
      <c r="AM30" s="65">
        <f t="shared" si="11"/>
        <v>3893</v>
      </c>
      <c r="AN30" s="65">
        <f t="shared" si="11"/>
        <v>5202</v>
      </c>
      <c r="AO30" s="65">
        <f t="shared" si="11"/>
        <v>4211</v>
      </c>
      <c r="AP30" s="65">
        <f t="shared" si="11"/>
        <v>4352</v>
      </c>
      <c r="AQ30" s="65">
        <f t="shared" si="11"/>
        <v>4611</v>
      </c>
    </row>
    <row r="31" ht="12.75" customHeight="1">
      <c r="A31" s="61">
        <v>13.0</v>
      </c>
      <c r="B31" s="62">
        <v>0.41180555555555554</v>
      </c>
      <c r="C31" s="58" t="s">
        <v>73</v>
      </c>
      <c r="D31" s="58">
        <v>508.0</v>
      </c>
      <c r="E31" s="58">
        <v>240.0</v>
      </c>
      <c r="F31" s="58">
        <v>261.0</v>
      </c>
      <c r="G31" s="58">
        <v>210.0</v>
      </c>
      <c r="H31" s="58">
        <v>180.0</v>
      </c>
      <c r="I31" s="58">
        <v>237.0</v>
      </c>
      <c r="J31" s="58">
        <v>237.0</v>
      </c>
      <c r="K31" s="58">
        <v>269.0</v>
      </c>
      <c r="L31" s="58">
        <v>212.0</v>
      </c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>
        <v>242.0</v>
      </c>
      <c r="Y31" s="58">
        <v>254.0</v>
      </c>
      <c r="Z31" s="58">
        <v>241.0</v>
      </c>
      <c r="AA31" s="58">
        <v>368.0</v>
      </c>
      <c r="AB31" s="58"/>
      <c r="AC31" s="58"/>
      <c r="AD31" s="58"/>
      <c r="AE31" s="58"/>
      <c r="AF31" s="58"/>
      <c r="AG31" s="58"/>
      <c r="AH31" s="58"/>
      <c r="AI31" s="58"/>
      <c r="AJ31" s="58">
        <v>286.0</v>
      </c>
      <c r="AK31" s="58">
        <v>270.0</v>
      </c>
      <c r="AL31" s="58">
        <v>273.0</v>
      </c>
      <c r="AM31" s="58">
        <v>255.0</v>
      </c>
      <c r="AN31" s="58">
        <v>329.0</v>
      </c>
      <c r="AO31" s="58">
        <v>276.0</v>
      </c>
      <c r="AP31" s="58">
        <v>289.0</v>
      </c>
      <c r="AQ31" s="58">
        <v>306.0</v>
      </c>
    </row>
    <row r="32" ht="12.75" customHeight="1">
      <c r="A32" s="63"/>
      <c r="B32" s="64"/>
      <c r="C32" s="65" t="s">
        <v>62</v>
      </c>
      <c r="D32" s="65">
        <f t="shared" ref="D32:AQ32" si="12">SUM(D30:D31)</f>
        <v>8632</v>
      </c>
      <c r="E32" s="65">
        <f t="shared" si="12"/>
        <v>4239</v>
      </c>
      <c r="F32" s="65">
        <f t="shared" si="12"/>
        <v>4206</v>
      </c>
      <c r="G32" s="65">
        <f t="shared" si="12"/>
        <v>3634</v>
      </c>
      <c r="H32" s="65">
        <f t="shared" si="12"/>
        <v>3223</v>
      </c>
      <c r="I32" s="65">
        <f t="shared" si="12"/>
        <v>3779</v>
      </c>
      <c r="J32" s="65">
        <f t="shared" si="12"/>
        <v>3933</v>
      </c>
      <c r="K32" s="65">
        <f t="shared" si="12"/>
        <v>673</v>
      </c>
      <c r="L32" s="65">
        <f t="shared" si="12"/>
        <v>577</v>
      </c>
      <c r="M32" s="65">
        <f t="shared" si="12"/>
        <v>478</v>
      </c>
      <c r="N32" s="65">
        <f t="shared" si="12"/>
        <v>543</v>
      </c>
      <c r="O32" s="65">
        <f t="shared" si="12"/>
        <v>508</v>
      </c>
      <c r="P32" s="65">
        <f t="shared" si="12"/>
        <v>748</v>
      </c>
      <c r="Q32" s="65">
        <f t="shared" si="12"/>
        <v>321</v>
      </c>
      <c r="R32" s="65">
        <f t="shared" si="12"/>
        <v>787</v>
      </c>
      <c r="S32" s="65">
        <f t="shared" si="12"/>
        <v>592</v>
      </c>
      <c r="T32" s="65">
        <f t="shared" si="12"/>
        <v>722</v>
      </c>
      <c r="U32" s="65">
        <f t="shared" si="12"/>
        <v>889</v>
      </c>
      <c r="V32" s="65">
        <f t="shared" si="12"/>
        <v>319</v>
      </c>
      <c r="W32" s="65">
        <f t="shared" si="12"/>
        <v>924</v>
      </c>
      <c r="X32" s="65">
        <f t="shared" si="12"/>
        <v>4003</v>
      </c>
      <c r="Y32" s="65">
        <f t="shared" si="12"/>
        <v>4199</v>
      </c>
      <c r="Z32" s="65">
        <f t="shared" si="12"/>
        <v>3907</v>
      </c>
      <c r="AA32" s="65">
        <f t="shared" si="12"/>
        <v>928</v>
      </c>
      <c r="AB32" s="65">
        <f t="shared" si="12"/>
        <v>464</v>
      </c>
      <c r="AC32" s="65">
        <f t="shared" si="12"/>
        <v>532</v>
      </c>
      <c r="AD32" s="65">
        <f t="shared" si="12"/>
        <v>875</v>
      </c>
      <c r="AE32" s="65">
        <f t="shared" si="12"/>
        <v>235</v>
      </c>
      <c r="AF32" s="65">
        <f t="shared" si="12"/>
        <v>123</v>
      </c>
      <c r="AG32" s="65">
        <f t="shared" si="12"/>
        <v>1010</v>
      </c>
      <c r="AH32" s="65">
        <f t="shared" si="12"/>
        <v>1225</v>
      </c>
      <c r="AI32" s="65">
        <f t="shared" si="12"/>
        <v>952</v>
      </c>
      <c r="AJ32" s="65">
        <f t="shared" si="12"/>
        <v>4536</v>
      </c>
      <c r="AK32" s="65">
        <f t="shared" si="12"/>
        <v>4299</v>
      </c>
      <c r="AL32" s="65">
        <f t="shared" si="12"/>
        <v>4180</v>
      </c>
      <c r="AM32" s="65">
        <f t="shared" si="12"/>
        <v>4148</v>
      </c>
      <c r="AN32" s="65">
        <f t="shared" si="12"/>
        <v>5531</v>
      </c>
      <c r="AO32" s="65">
        <f t="shared" si="12"/>
        <v>4487</v>
      </c>
      <c r="AP32" s="65">
        <f t="shared" si="12"/>
        <v>4641</v>
      </c>
      <c r="AQ32" s="65">
        <f t="shared" si="12"/>
        <v>4917</v>
      </c>
    </row>
    <row r="33" ht="12.75" customHeight="1">
      <c r="A33" s="61">
        <v>14.0</v>
      </c>
      <c r="B33" s="62">
        <v>0.4465277777777778</v>
      </c>
      <c r="C33" s="58" t="s">
        <v>74</v>
      </c>
      <c r="D33" s="58">
        <v>769.0</v>
      </c>
      <c r="E33" s="58">
        <v>322.0</v>
      </c>
      <c r="F33" s="58">
        <v>431.0</v>
      </c>
      <c r="G33" s="58">
        <v>365.0</v>
      </c>
      <c r="H33" s="58">
        <v>257.0</v>
      </c>
      <c r="I33" s="58">
        <v>427.0</v>
      </c>
      <c r="J33" s="58">
        <v>302.0</v>
      </c>
      <c r="K33" s="58"/>
      <c r="L33" s="58"/>
      <c r="M33" s="58"/>
      <c r="N33" s="58"/>
      <c r="O33" s="58"/>
      <c r="P33" s="58"/>
      <c r="Q33" s="58">
        <v>521.0</v>
      </c>
      <c r="R33" s="58"/>
      <c r="S33" s="58"/>
      <c r="T33" s="58"/>
      <c r="U33" s="58"/>
      <c r="V33" s="58"/>
      <c r="W33" s="58"/>
      <c r="X33" s="58">
        <v>359.0</v>
      </c>
      <c r="Y33" s="58">
        <v>351.0</v>
      </c>
      <c r="Z33" s="58">
        <v>343.0</v>
      </c>
      <c r="AA33" s="58"/>
      <c r="AB33" s="58"/>
      <c r="AC33" s="58"/>
      <c r="AD33" s="58"/>
      <c r="AE33" s="58">
        <v>336.0</v>
      </c>
      <c r="AF33" s="58">
        <v>343.0</v>
      </c>
      <c r="AG33" s="58"/>
      <c r="AH33" s="58"/>
      <c r="AI33" s="58"/>
      <c r="AJ33" s="58">
        <v>418.0</v>
      </c>
      <c r="AK33" s="58">
        <v>410.0</v>
      </c>
      <c r="AL33" s="58">
        <v>393.0</v>
      </c>
      <c r="AM33" s="58">
        <v>384.0</v>
      </c>
      <c r="AN33" s="58">
        <v>463.0</v>
      </c>
      <c r="AO33" s="58">
        <v>401.0</v>
      </c>
      <c r="AP33" s="58">
        <v>416.0</v>
      </c>
      <c r="AQ33" s="58">
        <v>454.0</v>
      </c>
    </row>
    <row r="34" ht="12.75" customHeight="1">
      <c r="A34" s="63"/>
      <c r="B34" s="64"/>
      <c r="C34" s="65" t="s">
        <v>62</v>
      </c>
      <c r="D34" s="65">
        <f t="shared" ref="D34:AQ34" si="13">SUM(D32:D33)</f>
        <v>9401</v>
      </c>
      <c r="E34" s="65">
        <f t="shared" si="13"/>
        <v>4561</v>
      </c>
      <c r="F34" s="65">
        <f t="shared" si="13"/>
        <v>4637</v>
      </c>
      <c r="G34" s="65">
        <f t="shared" si="13"/>
        <v>3999</v>
      </c>
      <c r="H34" s="65">
        <f t="shared" si="13"/>
        <v>3480</v>
      </c>
      <c r="I34" s="65">
        <f t="shared" si="13"/>
        <v>4206</v>
      </c>
      <c r="J34" s="65">
        <f t="shared" si="13"/>
        <v>4235</v>
      </c>
      <c r="K34" s="65">
        <f t="shared" si="13"/>
        <v>673</v>
      </c>
      <c r="L34" s="65">
        <f t="shared" si="13"/>
        <v>577</v>
      </c>
      <c r="M34" s="65">
        <f t="shared" si="13"/>
        <v>478</v>
      </c>
      <c r="N34" s="65">
        <f t="shared" si="13"/>
        <v>543</v>
      </c>
      <c r="O34" s="65">
        <f t="shared" si="13"/>
        <v>508</v>
      </c>
      <c r="P34" s="65">
        <f t="shared" si="13"/>
        <v>748</v>
      </c>
      <c r="Q34" s="65">
        <f t="shared" si="13"/>
        <v>842</v>
      </c>
      <c r="R34" s="65">
        <f t="shared" si="13"/>
        <v>787</v>
      </c>
      <c r="S34" s="65">
        <f t="shared" si="13"/>
        <v>592</v>
      </c>
      <c r="T34" s="65">
        <f t="shared" si="13"/>
        <v>722</v>
      </c>
      <c r="U34" s="65">
        <f t="shared" si="13"/>
        <v>889</v>
      </c>
      <c r="V34" s="65">
        <f t="shared" si="13"/>
        <v>319</v>
      </c>
      <c r="W34" s="65">
        <f t="shared" si="13"/>
        <v>924</v>
      </c>
      <c r="X34" s="65">
        <f t="shared" si="13"/>
        <v>4362</v>
      </c>
      <c r="Y34" s="65">
        <f t="shared" si="13"/>
        <v>4550</v>
      </c>
      <c r="Z34" s="65">
        <f t="shared" si="13"/>
        <v>4250</v>
      </c>
      <c r="AA34" s="65">
        <f t="shared" si="13"/>
        <v>928</v>
      </c>
      <c r="AB34" s="65">
        <f t="shared" si="13"/>
        <v>464</v>
      </c>
      <c r="AC34" s="65">
        <f t="shared" si="13"/>
        <v>532</v>
      </c>
      <c r="AD34" s="65">
        <f t="shared" si="13"/>
        <v>875</v>
      </c>
      <c r="AE34" s="65">
        <f t="shared" si="13"/>
        <v>571</v>
      </c>
      <c r="AF34" s="65">
        <f t="shared" si="13"/>
        <v>466</v>
      </c>
      <c r="AG34" s="65">
        <f t="shared" si="13"/>
        <v>1010</v>
      </c>
      <c r="AH34" s="65">
        <f t="shared" si="13"/>
        <v>1225</v>
      </c>
      <c r="AI34" s="65">
        <f t="shared" si="13"/>
        <v>952</v>
      </c>
      <c r="AJ34" s="65">
        <f t="shared" si="13"/>
        <v>4954</v>
      </c>
      <c r="AK34" s="65">
        <f t="shared" si="13"/>
        <v>4709</v>
      </c>
      <c r="AL34" s="65">
        <f t="shared" si="13"/>
        <v>4573</v>
      </c>
      <c r="AM34" s="65">
        <f t="shared" si="13"/>
        <v>4532</v>
      </c>
      <c r="AN34" s="65">
        <f t="shared" si="13"/>
        <v>5994</v>
      </c>
      <c r="AO34" s="65">
        <f t="shared" si="13"/>
        <v>4888</v>
      </c>
      <c r="AP34" s="65">
        <f t="shared" si="13"/>
        <v>5057</v>
      </c>
      <c r="AQ34" s="65">
        <f t="shared" si="13"/>
        <v>5371</v>
      </c>
    </row>
    <row r="35" ht="12.75" customHeight="1">
      <c r="A35" s="67"/>
      <c r="B35" s="67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</row>
    <row r="36" ht="12.75" customHeight="1">
      <c r="C36" s="22"/>
      <c r="E36" s="69" t="s">
        <v>75</v>
      </c>
    </row>
    <row r="37" ht="12.75" customHeight="1">
      <c r="A37" s="22"/>
      <c r="B37" s="22"/>
      <c r="C37" s="22"/>
      <c r="E37" s="70" t="s">
        <v>73</v>
      </c>
      <c r="F37" s="70" t="s">
        <v>61</v>
      </c>
      <c r="G37" s="70" t="s">
        <v>60</v>
      </c>
      <c r="H37" s="70" t="s">
        <v>72</v>
      </c>
      <c r="I37" s="70" t="s">
        <v>71</v>
      </c>
      <c r="J37" s="70" t="s">
        <v>66</v>
      </c>
      <c r="K37" s="70" t="s">
        <v>65</v>
      </c>
      <c r="L37" s="70" t="s">
        <v>74</v>
      </c>
      <c r="M37" s="70" t="s">
        <v>64</v>
      </c>
      <c r="N37" s="70" t="s">
        <v>67</v>
      </c>
      <c r="O37" s="70" t="s">
        <v>70</v>
      </c>
      <c r="P37" s="70" t="s">
        <v>69</v>
      </c>
      <c r="Q37" s="70" t="s">
        <v>68</v>
      </c>
      <c r="R37" s="71" t="s">
        <v>63</v>
      </c>
    </row>
    <row r="38" ht="12.75" customHeight="1">
      <c r="C38" s="22" t="s">
        <v>76</v>
      </c>
      <c r="D38" s="72">
        <f>SUM(E38:R38)</f>
        <v>21933</v>
      </c>
      <c r="E38" s="73">
        <v>1623.0</v>
      </c>
      <c r="F38" s="74">
        <v>1559.0</v>
      </c>
      <c r="G38" s="22">
        <v>1195.0</v>
      </c>
      <c r="H38" s="74">
        <v>1107.0</v>
      </c>
      <c r="I38" s="74">
        <v>1743.0</v>
      </c>
      <c r="J38" s="74">
        <v>1563.0</v>
      </c>
      <c r="K38" s="74">
        <v>1375.0</v>
      </c>
      <c r="L38" s="74">
        <v>1638.0</v>
      </c>
      <c r="M38" s="74">
        <v>1579.0</v>
      </c>
      <c r="N38" s="74">
        <v>1642.0</v>
      </c>
      <c r="O38" s="74">
        <v>1890.0</v>
      </c>
      <c r="P38" s="74">
        <v>1848.0</v>
      </c>
      <c r="Q38" s="74">
        <v>1559.0</v>
      </c>
      <c r="R38" s="74">
        <v>1612.0</v>
      </c>
    </row>
    <row r="39" ht="12.75" customHeight="1"/>
    <row r="40" ht="12.75" customHeight="1">
      <c r="A40" s="75"/>
      <c r="B40" s="75" t="s">
        <v>77</v>
      </c>
      <c r="D40" s="76">
        <f>D34/D38</f>
        <v>0.4286235353</v>
      </c>
    </row>
    <row r="41" ht="12.75" customHeight="1">
      <c r="A41" s="22"/>
      <c r="B41" s="22" t="s">
        <v>1</v>
      </c>
    </row>
    <row r="42" ht="12.75" customHeight="1">
      <c r="A42" s="22"/>
      <c r="B42" s="22" t="s">
        <v>1</v>
      </c>
    </row>
    <row r="43" ht="12.75" customHeight="1">
      <c r="A43" s="22"/>
      <c r="B43" s="22" t="s">
        <v>1</v>
      </c>
    </row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</sheetData>
  <mergeCells count="12">
    <mergeCell ref="AJ3:AM4"/>
    <mergeCell ref="AN3:AN5"/>
    <mergeCell ref="AO3:AQ4"/>
    <mergeCell ref="E36:R36"/>
    <mergeCell ref="B40:C40"/>
    <mergeCell ref="F1:V1"/>
    <mergeCell ref="B2:D2"/>
    <mergeCell ref="E3:F4"/>
    <mergeCell ref="G3:J4"/>
    <mergeCell ref="K3:W3"/>
    <mergeCell ref="X3:Z4"/>
    <mergeCell ref="AA3:AI3"/>
  </mergeCells>
  <printOptions/>
  <pageMargins bottom="0.75" footer="0.0" header="0.0" left="0.7" right="0.7" top="0.75"/>
  <pageSetup orientation="landscape"/>
  <drawing r:id="rId1"/>
</worksheet>
</file>